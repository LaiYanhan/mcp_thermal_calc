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工控院\skills\项目研究\研究资料\"/>
    </mc:Choice>
  </mc:AlternateContent>
  <xr:revisionPtr revIDLastSave="0" documentId="13_ncr:1_{243892BF-14DB-4A6F-800D-D2084EAB4FBA}" xr6:coauthVersionLast="47" xr6:coauthVersionMax="47" xr10:uidLastSave="{00000000-0000-0000-0000-000000000000}"/>
  <bookViews>
    <workbookView xWindow="760" yWindow="760" windowWidth="19200" windowHeight="11170" activeTab="3" xr2:uid="{00000000-000D-0000-FFFF-FFFF00000000}"/>
  </bookViews>
  <sheets>
    <sheet name="设备型号" sheetId="6" r:id="rId1"/>
    <sheet name="熔盐参数" sheetId="7" r:id="rId2"/>
    <sheet name="输入" sheetId="1" r:id="rId3"/>
    <sheet name="计算" sheetId="2" r:id="rId4"/>
    <sheet name="选型" sheetId="3" r:id="rId5"/>
    <sheet name="造价" sheetId="4" r:id="rId6"/>
    <sheet name="工程概算" sheetId="10" r:id="rId7"/>
  </sheets>
  <externalReferences>
    <externalReference r:id="rId8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 a="1"/>
  <c r="D4" i="2"/>
  <c r="J4" i="2" a="1"/>
  <c r="J4" i="2"/>
  <c r="D3" i="2" a="1"/>
  <c r="D3" i="2"/>
  <c r="J3" i="2" a="1"/>
  <c r="J3" i="2"/>
  <c r="D5" i="2"/>
  <c r="D6" i="2"/>
  <c r="D8" i="2"/>
  <c r="D4" i="3"/>
  <c r="D8" i="3"/>
  <c r="D9" i="3"/>
  <c r="D4" i="4"/>
  <c r="E4" i="4"/>
  <c r="G3" i="10"/>
  <c r="C3" i="10"/>
  <c r="D10" i="3"/>
  <c r="D5" i="4"/>
  <c r="E5" i="4"/>
  <c r="G4" i="10"/>
  <c r="C4" i="10"/>
  <c r="D7" i="2"/>
  <c r="D11" i="3" a="1"/>
  <c r="D11" i="3"/>
  <c r="E6" i="4"/>
  <c r="G9" i="10"/>
  <c r="C9" i="10"/>
  <c r="C6" i="10"/>
  <c r="C7" i="10"/>
  <c r="C8" i="10"/>
  <c r="C10" i="10"/>
  <c r="C2" i="10"/>
  <c r="E3" i="10"/>
  <c r="E4" i="10"/>
  <c r="E9" i="10"/>
  <c r="E6" i="10"/>
  <c r="E7" i="10"/>
  <c r="E8" i="10"/>
  <c r="E10" i="10"/>
  <c r="E2" i="10"/>
  <c r="C50" i="10"/>
  <c r="C49" i="10"/>
  <c r="C47" i="10"/>
  <c r="C45" i="10"/>
  <c r="C43" i="10"/>
  <c r="D3" i="10"/>
  <c r="D4" i="10"/>
  <c r="D2" i="3"/>
  <c r="D3" i="4"/>
  <c r="E3" i="4"/>
  <c r="G5" i="10"/>
  <c r="D5" i="10"/>
  <c r="D9" i="10"/>
  <c r="D6" i="10"/>
  <c r="D7" i="10"/>
  <c r="D8" i="10"/>
  <c r="D10" i="10"/>
  <c r="D2" i="10"/>
  <c r="C40" i="10"/>
  <c r="C38" i="10"/>
  <c r="G2" i="10"/>
  <c r="C37" i="10"/>
  <c r="C36" i="10"/>
  <c r="C35" i="10"/>
  <c r="C34" i="10"/>
  <c r="C33" i="10"/>
  <c r="C32" i="10"/>
  <c r="C31" i="10"/>
  <c r="C19" i="10"/>
  <c r="C22" i="10"/>
  <c r="C23" i="10"/>
  <c r="C24" i="10"/>
  <c r="D19" i="10"/>
  <c r="D22" i="10"/>
  <c r="D23" i="10"/>
  <c r="D24" i="10"/>
  <c r="E19" i="10"/>
  <c r="E22" i="10"/>
  <c r="E23" i="10"/>
  <c r="E24" i="10"/>
  <c r="F13" i="10"/>
  <c r="F14" i="10"/>
  <c r="F16" i="10"/>
  <c r="F15" i="10"/>
  <c r="F11" i="10"/>
  <c r="F18" i="10"/>
  <c r="F19" i="10"/>
  <c r="F21" i="10"/>
  <c r="F22" i="10"/>
  <c r="F23" i="10"/>
  <c r="F24" i="10"/>
  <c r="G24" i="10"/>
  <c r="G23" i="10"/>
  <c r="G22" i="10"/>
  <c r="G21" i="10"/>
  <c r="G19" i="10"/>
  <c r="C20" i="10"/>
  <c r="D20" i="10"/>
  <c r="E20" i="10"/>
  <c r="F20" i="10"/>
  <c r="G20" i="10"/>
  <c r="E7" i="4"/>
  <c r="E9" i="4"/>
  <c r="I19" i="10"/>
  <c r="G18" i="10"/>
  <c r="G17" i="10"/>
  <c r="G16" i="10"/>
  <c r="G15" i="10"/>
  <c r="G14" i="10"/>
  <c r="G13" i="10"/>
  <c r="G12" i="10"/>
  <c r="G11" i="10"/>
  <c r="J5" i="2"/>
  <c r="J6" i="2"/>
  <c r="J7" i="2"/>
  <c r="D3" i="3"/>
  <c r="D13" i="4"/>
  <c r="E13" i="4"/>
  <c r="N5" i="10"/>
  <c r="M5" i="10"/>
  <c r="L5" i="10"/>
  <c r="K5" i="10"/>
  <c r="D14" i="4"/>
  <c r="E14" i="4"/>
  <c r="E15" i="4"/>
  <c r="J8" i="2"/>
  <c r="D12" i="3" a="1"/>
  <c r="D12" i="3"/>
  <c r="E16" i="4"/>
  <c r="E17" i="4"/>
  <c r="E19" i="4"/>
  <c r="E18" i="4"/>
  <c r="E8" i="4"/>
  <c r="K12" i="7"/>
  <c r="E12" i="7"/>
  <c r="K11" i="7"/>
  <c r="E11" i="7"/>
  <c r="K10" i="7"/>
  <c r="E10" i="7"/>
  <c r="K9" i="7"/>
  <c r="E9" i="7"/>
  <c r="K8" i="7"/>
  <c r="E8" i="7"/>
  <c r="K7" i="7"/>
  <c r="E7" i="7"/>
  <c r="K6" i="7"/>
  <c r="E6" i="7"/>
  <c r="K5" i="7"/>
  <c r="E5" i="7"/>
  <c r="J11" i="2"/>
  <c r="J10" i="2"/>
  <c r="D10" i="2"/>
  <c r="J9" i="2"/>
  <c r="D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<sst xmlns="http://schemas.openxmlformats.org/spreadsheetml/2006/main" count="383" uniqueCount="174">
  <si>
    <t>电加热器</t>
  </si>
  <si>
    <t>SGS</t>
  </si>
  <si>
    <t>变压器</t>
  </si>
  <si>
    <t>序号</t>
  </si>
  <si>
    <t>电加热器功率型号</t>
  </si>
  <si>
    <t>单位</t>
  </si>
  <si>
    <t>备注</t>
  </si>
  <si>
    <t>SGS功率型号</t>
  </si>
  <si>
    <t>变压器型号</t>
  </si>
  <si>
    <t>MW</t>
  </si>
  <si>
    <t>电加热器功率范围5-30MW，每5MW为1个型号</t>
  </si>
  <si>
    <t>SGS功率根据实际计算值向上取整至5的倍数</t>
  </si>
  <si>
    <t>MVA</t>
  </si>
  <si>
    <t>根据电加热器功率向上取值，若电加热器功率高于变压器最大容量，可通过多台变压器组合</t>
  </si>
  <si>
    <t>热泵</t>
  </si>
  <si>
    <t>热泵热功率型号</t>
  </si>
  <si>
    <t>……</t>
  </si>
  <si>
    <t>MWt</t>
  </si>
  <si>
    <t>热泵热功率范围5-80MW，每5MW为1个型号</t>
  </si>
  <si>
    <t>HITEC熔盐</t>
  </si>
  <si>
    <t>太阳盐</t>
  </si>
  <si>
    <t>项目</t>
  </si>
  <si>
    <t>参数</t>
  </si>
  <si>
    <t>高温熔盐温度</t>
  </si>
  <si>
    <t>℃</t>
  </si>
  <si>
    <t>输入值</t>
  </si>
  <si>
    <t>低温熔盐温度</t>
  </si>
  <si>
    <t>高温熔盐密度</t>
  </si>
  <si>
    <t>kg/m3</t>
  </si>
  <si>
    <t>低温熔盐密度</t>
  </si>
  <si>
    <t>高温熔盐导热系数</t>
  </si>
  <si>
    <t>kcal/(m·h·℃)</t>
  </si>
  <si>
    <t>低温熔盐导热系数</t>
  </si>
  <si>
    <t>高温熔盐粘度</t>
  </si>
  <si>
    <t>(kg·s)/m2</t>
  </si>
  <si>
    <t>低温熔盐粘度</t>
  </si>
  <si>
    <t>高温熔盐焓值</t>
  </si>
  <si>
    <t>kJ/kg/℃</t>
  </si>
  <si>
    <t>高温熔盐比热</t>
  </si>
  <si>
    <t>低温熔盐焓值</t>
  </si>
  <si>
    <t>低温熔盐比热</t>
  </si>
  <si>
    <t>名称</t>
  </si>
  <si>
    <t>项目信息</t>
  </si>
  <si>
    <t>蒸汽压力</t>
  </si>
  <si>
    <t>MPa</t>
  </si>
  <si>
    <t>该项目为谷电熔盐储热供蒸汽项目，电加热器/热泵消纳谷电，将熔盐加热储存，储热时长8h，在白天通过熔盐SGS供应8h蒸汽</t>
  </si>
  <si>
    <t>蒸汽温度</t>
  </si>
  <si>
    <t>蒸汽流量</t>
  </si>
  <si>
    <t>t/h</t>
  </si>
  <si>
    <t>给水压力</t>
  </si>
  <si>
    <t>给水温度</t>
  </si>
  <si>
    <t>供汽时长</t>
  </si>
  <si>
    <t>h</t>
  </si>
  <si>
    <t>谷电时长</t>
  </si>
  <si>
    <t>运行天数</t>
  </si>
  <si>
    <t>d</t>
  </si>
  <si>
    <t>电加热器电热效率</t>
  </si>
  <si>
    <t>/</t>
  </si>
  <si>
    <t>余热温度</t>
  </si>
  <si>
    <t>热泵cop</t>
  </si>
  <si>
    <t>根据余热温度确定</t>
  </si>
  <si>
    <t>换热效率</t>
  </si>
  <si>
    <t>储热效率</t>
  </si>
  <si>
    <t>蒸汽焓值</t>
  </si>
  <si>
    <t>kJ/kg</t>
  </si>
  <si>
    <t>根据蒸汽压力、温度计算焓值</t>
  </si>
  <si>
    <t>给水焓值</t>
  </si>
  <si>
    <t>根据给水压力、温度计算焓值</t>
  </si>
  <si>
    <t>SGS功率</t>
  </si>
  <si>
    <t>根据蒸汽流量、进出口焓差计算</t>
  </si>
  <si>
    <t>制热量</t>
  </si>
  <si>
    <t>MWh</t>
  </si>
  <si>
    <t>根据SGS功率、供汽时长计算</t>
  </si>
  <si>
    <t>电加热器功率</t>
  </si>
  <si>
    <t>根据制热量、谷电时长计算</t>
  </si>
  <si>
    <t>热泵热功率</t>
  </si>
  <si>
    <t>储热量</t>
  </si>
  <si>
    <t>根据制热量计算</t>
  </si>
  <si>
    <t>热泵电功率</t>
  </si>
  <si>
    <t>根据cop计算</t>
  </si>
  <si>
    <t>年用电量</t>
  </si>
  <si>
    <t>万kWh</t>
  </si>
  <si>
    <t>年供汽量</t>
  </si>
  <si>
    <t>万t</t>
  </si>
  <si>
    <t>电加热器方案</t>
  </si>
  <si>
    <t>热泵方案</t>
  </si>
  <si>
    <t>熔盐类型</t>
  </si>
  <si>
    <t>HITEC熔盐使用温区190-400℃以内，太阳盐使用温区290-565℃以内，根据蒸汽参数计算热平衡确定熔盐类型和使用温区，需要注意熔盐和蒸汽换热时的夹点问题</t>
  </si>
  <si>
    <t>熔盐比热</t>
  </si>
  <si>
    <t>kJ/kg/k</t>
  </si>
  <si>
    <t>根据熔盐类型确定</t>
  </si>
  <si>
    <t>熔盐量</t>
  </si>
  <si>
    <t>t</t>
  </si>
  <si>
    <t>变压器容量</t>
  </si>
  <si>
    <t>根据用电功率选择变压器容量，电加热器功率因数按1，热泵功率因数按0.85</t>
  </si>
  <si>
    <t>单位造价</t>
  </si>
  <si>
    <t>总价</t>
  </si>
  <si>
    <t>万元</t>
  </si>
  <si>
    <t>40万/MW</t>
  </si>
  <si>
    <t>储热系统</t>
  </si>
  <si>
    <t>根据盐量确定，1万吨以下取1.2，2万吨以下取1.1，2万吨以上取1</t>
  </si>
  <si>
    <t>换热系统</t>
  </si>
  <si>
    <t>35万/MW</t>
  </si>
  <si>
    <t>电气系统</t>
  </si>
  <si>
    <t>12万/MW</t>
  </si>
  <si>
    <t>设备投资</t>
  </si>
  <si>
    <t>建设及备用</t>
  </si>
  <si>
    <t>总投资减设备投资</t>
  </si>
  <si>
    <t>总投资</t>
  </si>
  <si>
    <t>按设备投资占总投资的80%反算</t>
  </si>
  <si>
    <t>80万/MW</t>
  </si>
  <si>
    <t>工程或费用名称</t>
  </si>
  <si>
    <t>建筑工程费</t>
  </si>
  <si>
    <t>设备购置费</t>
  </si>
  <si>
    <t>安装工程费</t>
  </si>
  <si>
    <t>其他费用</t>
  </si>
  <si>
    <r>
      <rPr>
        <sz val="10.5"/>
        <color rgb="FF000000"/>
        <rFont val="宋体"/>
        <family val="3"/>
        <charset val="134"/>
      </rPr>
      <t>合计</t>
    </r>
    <r>
      <rPr>
        <sz val="10.5"/>
        <color rgb="FF000000"/>
        <rFont val="Times New Roman"/>
        <family val="1"/>
      </rPr>
      <t>:</t>
    </r>
    <r>
      <rPr>
        <sz val="10.5"/>
        <color rgb="FF000000"/>
        <rFont val="宋体"/>
        <family val="3"/>
        <charset val="134"/>
      </rPr>
      <t>万元</t>
    </r>
  </si>
  <si>
    <t>一</t>
  </si>
  <si>
    <t>主辅生产工程</t>
  </si>
  <si>
    <t>储能系统（含熔盐管道）</t>
  </si>
  <si>
    <t>蒸汽发生系统（含蒸汽管道）</t>
  </si>
  <si>
    <t>合计</t>
  </si>
  <si>
    <t>电加热系统</t>
  </si>
  <si>
    <t>热泵系统</t>
  </si>
  <si>
    <t>热力系统</t>
  </si>
  <si>
    <t>水处理系统</t>
  </si>
  <si>
    <t>供水系统</t>
  </si>
  <si>
    <t>电气控制系统</t>
  </si>
  <si>
    <t>其他辅助系统</t>
  </si>
  <si>
    <t>二</t>
  </si>
  <si>
    <t>建设场地征用及清理费</t>
  </si>
  <si>
    <t>项目建设管理费</t>
  </si>
  <si>
    <t>项目建设技术服务费</t>
  </si>
  <si>
    <t>整套启动试运费</t>
  </si>
  <si>
    <t>生产准备费</t>
  </si>
  <si>
    <t>大件运输措施费（设备运费）</t>
  </si>
  <si>
    <t>三</t>
  </si>
  <si>
    <t>基本预备费</t>
  </si>
  <si>
    <t>工程静态投资</t>
  </si>
  <si>
    <t>保证静态投资与造价中的总投资一致</t>
  </si>
  <si>
    <t>各类费用占静态投资</t>
  </si>
  <si>
    <t>四</t>
  </si>
  <si>
    <t>建设期贷款利息</t>
  </si>
  <si>
    <t>根据工程静态投资、贷款利率、建设期计算</t>
  </si>
  <si>
    <t>五</t>
  </si>
  <si>
    <t>工程动态投资</t>
  </si>
  <si>
    <t>其中：可抵扣固定资产增值税额</t>
  </si>
  <si>
    <t>六</t>
  </si>
  <si>
    <t>可计入固定资产</t>
  </si>
  <si>
    <t>铺底流动资金</t>
  </si>
  <si>
    <t>其他费用估算</t>
  </si>
  <si>
    <t>费用名称</t>
  </si>
  <si>
    <t>数值</t>
  </si>
  <si>
    <t>项目管理费</t>
  </si>
  <si>
    <t>公式计算</t>
  </si>
  <si>
    <t>法人管理费</t>
  </si>
  <si>
    <t>招标费</t>
  </si>
  <si>
    <t>工程监理费</t>
  </si>
  <si>
    <t>设备材料建造费</t>
  </si>
  <si>
    <t>造价咨询及竣工结算审核</t>
  </si>
  <si>
    <t>工程保险费</t>
  </si>
  <si>
    <t>项目技术服务费</t>
  </si>
  <si>
    <t>项目前期工作费</t>
  </si>
  <si>
    <t>参照金塔</t>
  </si>
  <si>
    <t>设备成套技术服务费</t>
  </si>
  <si>
    <t>勘察设计费</t>
  </si>
  <si>
    <t>设计文件评审费</t>
  </si>
  <si>
    <t>项目后评价费</t>
  </si>
  <si>
    <t>工程建设检测费</t>
  </si>
  <si>
    <t>经济标准编制</t>
  </si>
  <si>
    <t>调试启动试运行</t>
  </si>
  <si>
    <t>管理车辆购置</t>
  </si>
  <si>
    <t>家具购置</t>
  </si>
  <si>
    <t>进场培训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</si>
</sst>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_);[Red]\(0\)"/>
    <numFmt numFmtId="179" formatCode="0.00_);[Red]\(0.00\)"/>
    <numFmt numFmtId="180" formatCode="0.0_);[Red]\(0.0\)"/>
  </numFmts>
  <fonts count="10" x14ac:knownFonts="1">
    <font>
      <sz val="11"/>
      <color theme="1"/>
      <name val="等线"/>
      <charset val="134"/>
      <scheme val="minor"/>
    </font>
    <font>
      <sz val="10.5"/>
      <color rgb="FF000000"/>
      <name val="宋体"/>
      <family val="3"/>
      <charset val="134"/>
    </font>
    <font>
      <b/>
      <sz val="10.5"/>
      <color rgb="FF000000"/>
      <name val="宋体"/>
      <family val="3"/>
      <charset val="134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10.5"/>
      <color theme="4"/>
      <name val="Times New Roman"/>
      <family val="1"/>
    </font>
    <font>
      <sz val="10.5"/>
      <color rgb="FF00000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3" fillId="2" borderId="4" xfId="0" applyNumberFormat="1" applyFont="1" applyFill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8" fontId="4" fillId="0" borderId="3" xfId="0" applyNumberFormat="1" applyFont="1" applyBorder="1" applyAlignment="1">
      <alignment horizontal="center" vertical="center" wrapText="1"/>
    </xf>
    <xf numFmtId="179" fontId="1" fillId="0" borderId="4" xfId="0" applyNumberFormat="1" applyFont="1" applyBorder="1" applyAlignment="1">
      <alignment horizontal="center" vertical="center" wrapText="1"/>
    </xf>
    <xf numFmtId="180" fontId="4" fillId="2" borderId="4" xfId="1" applyNumberFormat="1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79" fontId="4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1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" fontId="0" fillId="0" borderId="0" xfId="0" applyNumberFormat="1">
      <alignment vertical="center"/>
    </xf>
    <xf numFmtId="9" fontId="4" fillId="0" borderId="4" xfId="0" applyNumberFormat="1" applyFont="1" applyBorder="1" applyAlignment="1">
      <alignment horizontal="center" vertical="center" wrapText="1"/>
    </xf>
    <xf numFmtId="9" fontId="4" fillId="0" borderId="4" xfId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0" fillId="0" borderId="15" xfId="0" applyBorder="1" applyAlignment="1"/>
    <xf numFmtId="0" fontId="0" fillId="0" borderId="15" xfId="0" applyBorder="1" applyAlignment="1">
      <alignment horizontal="center"/>
    </xf>
    <xf numFmtId="0" fontId="7" fillId="0" borderId="15" xfId="0" applyFont="1" applyBorder="1" applyAlignment="1"/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468084</xdr:colOff>
      <xdr:row>0</xdr:row>
      <xdr:rowOff>0</xdr:rowOff>
    </xdr:from>
    <xdr:to>
      <xdr:col>8</xdr:col>
      <xdr:colOff>241358</xdr:colOff>
      <xdr:row>20</xdr:row>
      <xdr:rowOff>44654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0645" y="0"/>
          <a:ext cx="1144905" cy="39617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gram%20Files%20(x86)\REFPROP\REFPROP.XLA" TargetMode="External"/><Relationship Id="rId1" Type="http://schemas.openxmlformats.org/officeDocument/2006/relationships/externalLinkPath" Target="file:///D:\Program%20Files%20(x86)\REFPROP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nthalpy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0"/>
  <sheetViews>
    <sheetView workbookViewId="0">
      <selection activeCell="I15" sqref="I15"/>
    </sheetView>
  </sheetViews>
  <sheetFormatPr defaultColWidth="9" defaultRowHeight="14" x14ac:dyDescent="0.3"/>
  <cols>
    <col min="1" max="1" width="9.1640625" style="49"/>
    <col min="2" max="2" width="17.5" style="49" customWidth="1"/>
    <col min="3" max="3" width="9.33203125" style="49" customWidth="1"/>
    <col min="4" max="4" width="15.5" style="49" customWidth="1"/>
    <col min="5" max="5" width="6.6640625" customWidth="1"/>
    <col min="6" max="6" width="7.1640625" style="49" customWidth="1"/>
    <col min="7" max="7" width="13" style="49" customWidth="1"/>
    <col min="8" max="8" width="9.6640625" style="49" customWidth="1"/>
    <col min="9" max="9" width="15.08203125" style="49" customWidth="1"/>
    <col min="10" max="10" width="6.25" customWidth="1"/>
    <col min="11" max="11" width="7.58203125" style="49" customWidth="1"/>
    <col min="12" max="12" width="11.4140625" style="49" customWidth="1"/>
    <col min="13" max="13" width="8.25" style="49" customWidth="1"/>
    <col min="14" max="14" width="15" style="49" customWidth="1"/>
  </cols>
  <sheetData>
    <row r="1" spans="1:14" x14ac:dyDescent="0.3">
      <c r="A1" s="57" t="s">
        <v>0</v>
      </c>
      <c r="B1" s="58"/>
      <c r="C1" s="58"/>
      <c r="D1" s="59"/>
      <c r="F1" s="57" t="s">
        <v>1</v>
      </c>
      <c r="G1" s="58"/>
      <c r="H1" s="58"/>
      <c r="I1" s="59"/>
      <c r="K1" s="57" t="s">
        <v>2</v>
      </c>
      <c r="L1" s="58"/>
      <c r="M1" s="58"/>
      <c r="N1" s="59"/>
    </row>
    <row r="2" spans="1:14" x14ac:dyDescent="0.3">
      <c r="A2" s="48" t="s">
        <v>3</v>
      </c>
      <c r="B2" s="49" t="s">
        <v>4</v>
      </c>
      <c r="C2" s="49" t="s">
        <v>5</v>
      </c>
      <c r="D2" s="50" t="s">
        <v>6</v>
      </c>
      <c r="F2" s="48" t="s">
        <v>3</v>
      </c>
      <c r="G2" s="49" t="s">
        <v>7</v>
      </c>
      <c r="H2" s="49" t="s">
        <v>5</v>
      </c>
      <c r="I2" s="50" t="s">
        <v>6</v>
      </c>
      <c r="K2" s="48" t="s">
        <v>3</v>
      </c>
      <c r="L2" s="49" t="s">
        <v>8</v>
      </c>
      <c r="M2" s="49" t="s">
        <v>5</v>
      </c>
      <c r="N2" s="50" t="s">
        <v>6</v>
      </c>
    </row>
    <row r="3" spans="1:14" x14ac:dyDescent="0.3">
      <c r="A3" s="48">
        <v>1</v>
      </c>
      <c r="B3" s="49">
        <v>5</v>
      </c>
      <c r="C3" s="49" t="s">
        <v>9</v>
      </c>
      <c r="D3" s="60" t="s">
        <v>10</v>
      </c>
      <c r="F3" s="48">
        <v>1</v>
      </c>
      <c r="G3" s="49">
        <v>5</v>
      </c>
      <c r="H3" s="49" t="s">
        <v>9</v>
      </c>
      <c r="I3" s="60" t="s">
        <v>11</v>
      </c>
      <c r="K3" s="48">
        <v>1</v>
      </c>
      <c r="L3" s="49">
        <v>6.3</v>
      </c>
      <c r="M3" s="49" t="s">
        <v>12</v>
      </c>
      <c r="N3" s="60" t="s">
        <v>13</v>
      </c>
    </row>
    <row r="4" spans="1:14" x14ac:dyDescent="0.3">
      <c r="A4" s="48">
        <v>2</v>
      </c>
      <c r="B4" s="49">
        <v>10</v>
      </c>
      <c r="C4" s="49" t="s">
        <v>9</v>
      </c>
      <c r="D4" s="60"/>
      <c r="F4" s="48">
        <v>2</v>
      </c>
      <c r="G4" s="49">
        <v>10</v>
      </c>
      <c r="H4" s="49" t="s">
        <v>9</v>
      </c>
      <c r="I4" s="60"/>
      <c r="K4" s="48">
        <v>2</v>
      </c>
      <c r="L4" s="49">
        <v>8</v>
      </c>
      <c r="M4" s="49" t="s">
        <v>12</v>
      </c>
      <c r="N4" s="60"/>
    </row>
    <row r="5" spans="1:14" x14ac:dyDescent="0.3">
      <c r="A5" s="48">
        <v>3</v>
      </c>
      <c r="B5" s="49">
        <v>15</v>
      </c>
      <c r="C5" s="49" t="s">
        <v>9</v>
      </c>
      <c r="D5" s="60"/>
      <c r="F5" s="48">
        <v>3</v>
      </c>
      <c r="G5" s="49">
        <v>15</v>
      </c>
      <c r="H5" s="49" t="s">
        <v>9</v>
      </c>
      <c r="I5" s="60"/>
      <c r="K5" s="48">
        <v>3</v>
      </c>
      <c r="L5" s="49">
        <v>10</v>
      </c>
      <c r="M5" s="49" t="s">
        <v>12</v>
      </c>
      <c r="N5" s="60"/>
    </row>
    <row r="6" spans="1:14" x14ac:dyDescent="0.3">
      <c r="A6" s="48">
        <v>4</v>
      </c>
      <c r="B6" s="49">
        <v>20</v>
      </c>
      <c r="C6" s="49" t="s">
        <v>9</v>
      </c>
      <c r="D6" s="60"/>
      <c r="F6" s="48">
        <v>4</v>
      </c>
      <c r="G6" s="49">
        <v>20</v>
      </c>
      <c r="H6" s="49" t="s">
        <v>9</v>
      </c>
      <c r="I6" s="60"/>
      <c r="K6" s="48">
        <v>4</v>
      </c>
      <c r="L6" s="49">
        <v>12.5</v>
      </c>
      <c r="M6" s="49" t="s">
        <v>12</v>
      </c>
      <c r="N6" s="60"/>
    </row>
    <row r="7" spans="1:14" x14ac:dyDescent="0.3">
      <c r="A7" s="48">
        <v>5</v>
      </c>
      <c r="B7" s="49">
        <v>25</v>
      </c>
      <c r="C7" s="49" t="s">
        <v>9</v>
      </c>
      <c r="D7" s="60"/>
      <c r="F7" s="48">
        <v>5</v>
      </c>
      <c r="G7" s="49">
        <v>25</v>
      </c>
      <c r="H7" s="49" t="s">
        <v>9</v>
      </c>
      <c r="I7" s="60"/>
      <c r="K7" s="48">
        <v>5</v>
      </c>
      <c r="L7" s="49">
        <v>16</v>
      </c>
      <c r="M7" s="49" t="s">
        <v>12</v>
      </c>
      <c r="N7" s="60"/>
    </row>
    <row r="8" spans="1:14" x14ac:dyDescent="0.3">
      <c r="A8" s="53">
        <v>6</v>
      </c>
      <c r="B8" s="54">
        <v>30</v>
      </c>
      <c r="C8" s="54" t="s">
        <v>9</v>
      </c>
      <c r="D8" s="61"/>
      <c r="F8" s="48">
        <v>6</v>
      </c>
      <c r="G8" s="49">
        <v>30</v>
      </c>
      <c r="H8" s="49" t="s">
        <v>9</v>
      </c>
      <c r="I8" s="60"/>
      <c r="K8" s="48">
        <v>6</v>
      </c>
      <c r="L8" s="49">
        <v>20</v>
      </c>
      <c r="M8" s="49" t="s">
        <v>12</v>
      </c>
      <c r="N8" s="60"/>
    </row>
    <row r="9" spans="1:14" x14ac:dyDescent="0.3">
      <c r="F9" s="48">
        <v>7</v>
      </c>
      <c r="G9" s="49">
        <v>35</v>
      </c>
      <c r="H9" s="49" t="s">
        <v>9</v>
      </c>
      <c r="I9" s="60"/>
      <c r="K9" s="48">
        <v>7</v>
      </c>
      <c r="L9" s="49">
        <v>25</v>
      </c>
      <c r="M9" s="49" t="s">
        <v>12</v>
      </c>
      <c r="N9" s="60"/>
    </row>
    <row r="10" spans="1:14" x14ac:dyDescent="0.3">
      <c r="F10" s="48">
        <v>8</v>
      </c>
      <c r="G10" s="49">
        <v>40</v>
      </c>
      <c r="H10" s="49" t="s">
        <v>9</v>
      </c>
      <c r="I10" s="60"/>
      <c r="K10" s="48">
        <v>8</v>
      </c>
      <c r="L10" s="49">
        <v>31.5</v>
      </c>
      <c r="M10" s="49" t="s">
        <v>12</v>
      </c>
      <c r="N10" s="60"/>
    </row>
    <row r="11" spans="1:14" x14ac:dyDescent="0.3">
      <c r="A11" s="57" t="s">
        <v>14</v>
      </c>
      <c r="B11" s="58"/>
      <c r="C11" s="58"/>
      <c r="D11" s="59"/>
      <c r="F11" s="48">
        <v>9</v>
      </c>
      <c r="G11" s="49">
        <v>45</v>
      </c>
      <c r="H11" s="49" t="s">
        <v>9</v>
      </c>
      <c r="I11" s="60"/>
      <c r="K11" s="48">
        <v>9</v>
      </c>
      <c r="L11" s="49">
        <v>40</v>
      </c>
      <c r="M11" s="49" t="s">
        <v>12</v>
      </c>
      <c r="N11" s="60"/>
    </row>
    <row r="12" spans="1:14" x14ac:dyDescent="0.3">
      <c r="A12" s="48" t="s">
        <v>3</v>
      </c>
      <c r="B12" s="49" t="s">
        <v>15</v>
      </c>
      <c r="C12" s="49" t="s">
        <v>5</v>
      </c>
      <c r="D12" s="50" t="s">
        <v>6</v>
      </c>
      <c r="F12" s="53">
        <v>10</v>
      </c>
      <c r="G12" s="54" t="s">
        <v>16</v>
      </c>
      <c r="H12" s="54" t="s">
        <v>9</v>
      </c>
      <c r="I12" s="61"/>
      <c r="K12" s="48">
        <v>10</v>
      </c>
      <c r="L12" s="49">
        <v>50</v>
      </c>
      <c r="M12" s="49" t="s">
        <v>12</v>
      </c>
      <c r="N12" s="60"/>
    </row>
    <row r="13" spans="1:14" x14ac:dyDescent="0.3">
      <c r="A13" s="48">
        <v>1</v>
      </c>
      <c r="B13" s="49">
        <v>5</v>
      </c>
      <c r="C13" s="49" t="s">
        <v>17</v>
      </c>
      <c r="D13" s="60" t="s">
        <v>18</v>
      </c>
      <c r="K13" s="48">
        <v>11</v>
      </c>
      <c r="L13" s="49">
        <v>63</v>
      </c>
      <c r="M13" s="49" t="s">
        <v>12</v>
      </c>
      <c r="N13" s="60"/>
    </row>
    <row r="14" spans="1:14" x14ac:dyDescent="0.3">
      <c r="A14" s="48">
        <v>2</v>
      </c>
      <c r="B14" s="49">
        <v>10</v>
      </c>
      <c r="C14" s="49" t="s">
        <v>17</v>
      </c>
      <c r="D14" s="60"/>
      <c r="K14" s="48">
        <v>12</v>
      </c>
      <c r="L14" s="49">
        <v>90</v>
      </c>
      <c r="M14" s="49" t="s">
        <v>12</v>
      </c>
      <c r="N14" s="60"/>
    </row>
    <row r="15" spans="1:14" x14ac:dyDescent="0.3">
      <c r="A15" s="48">
        <v>3</v>
      </c>
      <c r="B15" s="49">
        <v>15</v>
      </c>
      <c r="C15" s="49" t="s">
        <v>17</v>
      </c>
      <c r="D15" s="60"/>
      <c r="K15" s="53">
        <v>13</v>
      </c>
      <c r="L15" s="54">
        <v>120</v>
      </c>
      <c r="M15" s="54" t="s">
        <v>12</v>
      </c>
      <c r="N15" s="61"/>
    </row>
    <row r="16" spans="1:14" x14ac:dyDescent="0.3">
      <c r="A16" s="48">
        <v>4</v>
      </c>
      <c r="B16" s="49">
        <v>20</v>
      </c>
      <c r="C16" s="49" t="s">
        <v>17</v>
      </c>
      <c r="D16" s="60"/>
    </row>
    <row r="17" spans="1:4" x14ac:dyDescent="0.3">
      <c r="A17" s="48">
        <v>5</v>
      </c>
      <c r="B17" s="49" t="s">
        <v>16</v>
      </c>
      <c r="C17" s="49" t="s">
        <v>17</v>
      </c>
      <c r="D17" s="60"/>
    </row>
    <row r="18" spans="1:4" x14ac:dyDescent="0.3">
      <c r="A18" s="49">
        <v>6</v>
      </c>
      <c r="B18" s="49">
        <v>70</v>
      </c>
      <c r="C18" s="49" t="s">
        <v>17</v>
      </c>
      <c r="D18" s="60"/>
    </row>
    <row r="19" spans="1:4" x14ac:dyDescent="0.3">
      <c r="A19" s="49">
        <v>7</v>
      </c>
      <c r="B19" s="49">
        <v>75</v>
      </c>
      <c r="C19" s="49" t="s">
        <v>17</v>
      </c>
      <c r="D19" s="60"/>
    </row>
    <row r="20" spans="1:4" x14ac:dyDescent="0.3">
      <c r="A20" s="53">
        <v>8</v>
      </c>
      <c r="B20" s="54">
        <v>80</v>
      </c>
      <c r="C20" s="54" t="s">
        <v>17</v>
      </c>
      <c r="D20" s="61"/>
    </row>
  </sheetData>
  <mergeCells count="8">
    <mergeCell ref="D13:D20"/>
    <mergeCell ref="I3:I12"/>
    <mergeCell ref="N3:N15"/>
    <mergeCell ref="A1:D1"/>
    <mergeCell ref="F1:I1"/>
    <mergeCell ref="K1:N1"/>
    <mergeCell ref="A11:D11"/>
    <mergeCell ref="D3:D8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L12"/>
  <sheetViews>
    <sheetView workbookViewId="0">
      <selection activeCell="G10" sqref="G10"/>
    </sheetView>
  </sheetViews>
  <sheetFormatPr defaultColWidth="9" defaultRowHeight="14" x14ac:dyDescent="0.3"/>
  <cols>
    <col min="1" max="1" width="3.9140625" customWidth="1"/>
    <col min="2" max="2" width="5.1640625" style="49" customWidth="1"/>
    <col min="3" max="3" width="16.75" style="49" customWidth="1"/>
    <col min="4" max="4" width="11.4140625" style="49" customWidth="1"/>
    <col min="5" max="5" width="9.6640625" style="49" customWidth="1"/>
    <col min="6" max="6" width="11.6640625" customWidth="1"/>
    <col min="7" max="7" width="10.83203125" customWidth="1"/>
    <col min="8" max="8" width="6.08203125" customWidth="1"/>
    <col min="9" max="9" width="17" customWidth="1"/>
    <col min="10" max="10" width="10.08203125" customWidth="1"/>
  </cols>
  <sheetData>
    <row r="1" spans="2:12" x14ac:dyDescent="0.3">
      <c r="B1" s="56" t="s">
        <v>19</v>
      </c>
      <c r="C1" s="56"/>
      <c r="D1" s="56"/>
      <c r="E1" s="56"/>
      <c r="F1" s="56"/>
      <c r="H1" s="56" t="s">
        <v>20</v>
      </c>
      <c r="I1" s="56"/>
      <c r="J1" s="56"/>
      <c r="K1" s="56"/>
      <c r="L1" s="56"/>
    </row>
    <row r="2" spans="2:12" x14ac:dyDescent="0.3">
      <c r="B2" s="49" t="s">
        <v>3</v>
      </c>
      <c r="C2" s="49" t="s">
        <v>21</v>
      </c>
      <c r="D2" s="49" t="s">
        <v>5</v>
      </c>
      <c r="E2" s="49" t="s">
        <v>22</v>
      </c>
      <c r="F2" s="49" t="s">
        <v>6</v>
      </c>
      <c r="G2" s="49"/>
      <c r="H2" s="49" t="s">
        <v>3</v>
      </c>
      <c r="I2" s="49" t="s">
        <v>21</v>
      </c>
      <c r="J2" s="49" t="s">
        <v>5</v>
      </c>
      <c r="K2" s="49" t="s">
        <v>22</v>
      </c>
      <c r="L2" s="49" t="s">
        <v>6</v>
      </c>
    </row>
    <row r="3" spans="2:12" x14ac:dyDescent="0.3">
      <c r="B3" s="49">
        <v>1</v>
      </c>
      <c r="C3" s="49" t="s">
        <v>23</v>
      </c>
      <c r="D3" s="49" t="s">
        <v>24</v>
      </c>
      <c r="E3" s="49">
        <v>390</v>
      </c>
      <c r="F3" s="49" t="s">
        <v>25</v>
      </c>
      <c r="H3" s="49">
        <v>1</v>
      </c>
      <c r="I3" s="49" t="s">
        <v>23</v>
      </c>
      <c r="J3" s="49" t="s">
        <v>24</v>
      </c>
      <c r="K3" s="49">
        <v>565</v>
      </c>
      <c r="L3" s="49" t="s">
        <v>25</v>
      </c>
    </row>
    <row r="4" spans="2:12" x14ac:dyDescent="0.3">
      <c r="B4" s="49">
        <v>2</v>
      </c>
      <c r="C4" s="49" t="s">
        <v>26</v>
      </c>
      <c r="D4" s="49" t="s">
        <v>24</v>
      </c>
      <c r="E4" s="49">
        <v>190</v>
      </c>
      <c r="F4" s="49" t="s">
        <v>25</v>
      </c>
      <c r="H4" s="49">
        <v>2</v>
      </c>
      <c r="I4" s="49" t="s">
        <v>26</v>
      </c>
      <c r="J4" s="49" t="s">
        <v>24</v>
      </c>
      <c r="K4" s="49">
        <v>290</v>
      </c>
      <c r="L4" s="49" t="s">
        <v>25</v>
      </c>
    </row>
    <row r="5" spans="2:12" x14ac:dyDescent="0.3">
      <c r="B5" s="49">
        <v>3</v>
      </c>
      <c r="C5" s="49" t="s">
        <v>27</v>
      </c>
      <c r="D5" s="49" t="s">
        <v>28</v>
      </c>
      <c r="E5" s="49">
        <f>0.0003602*E3^2-0.9721*E3+2115</f>
        <v>1790.66742</v>
      </c>
      <c r="H5" s="49">
        <v>3</v>
      </c>
      <c r="I5" s="49" t="s">
        <v>27</v>
      </c>
      <c r="J5" s="49" t="s">
        <v>28</v>
      </c>
      <c r="K5" s="49">
        <f>2090-0.636*K3</f>
        <v>1730.6599999999999</v>
      </c>
    </row>
    <row r="6" spans="2:12" x14ac:dyDescent="0.3">
      <c r="B6" s="49">
        <v>4</v>
      </c>
      <c r="C6" s="49" t="s">
        <v>29</v>
      </c>
      <c r="D6" s="49" t="s">
        <v>28</v>
      </c>
      <c r="E6" s="49">
        <f>0.0003602*E4^2-0.9721*E4+2115</f>
        <v>1943.30422</v>
      </c>
      <c r="H6" s="49">
        <v>4</v>
      </c>
      <c r="I6" s="49" t="s">
        <v>29</v>
      </c>
      <c r="J6" s="49" t="s">
        <v>28</v>
      </c>
      <c r="K6" s="49">
        <f>2090-0.636*K4</f>
        <v>1905.56</v>
      </c>
    </row>
    <row r="7" spans="2:12" x14ac:dyDescent="0.3">
      <c r="B7" s="49">
        <v>5</v>
      </c>
      <c r="C7" s="49" t="s">
        <v>30</v>
      </c>
      <c r="D7" s="49" t="s">
        <v>31</v>
      </c>
      <c r="E7" s="49">
        <f>3.283*10^-9*E3^3-4.02*10^-6*E3^2+0.00104*E3+0.3015</f>
        <v>0.29040227699999999</v>
      </c>
      <c r="H7" s="49">
        <v>5</v>
      </c>
      <c r="I7" s="49" t="s">
        <v>30</v>
      </c>
      <c r="J7" s="49" t="s">
        <v>31</v>
      </c>
      <c r="K7" s="49">
        <f>0.443+1.9*K3/10^4</f>
        <v>0.55035000000000001</v>
      </c>
    </row>
    <row r="8" spans="2:12" x14ac:dyDescent="0.3">
      <c r="B8" s="49">
        <v>6</v>
      </c>
      <c r="C8" s="49" t="s">
        <v>32</v>
      </c>
      <c r="D8" s="49" t="s">
        <v>31</v>
      </c>
      <c r="E8" s="49">
        <f>3.283*10^-9*E4^3-4.02*10^-6*E4^2+0.00104*E4+0.3015</f>
        <v>0.37649609699999997</v>
      </c>
      <c r="H8" s="49">
        <v>6</v>
      </c>
      <c r="I8" s="49" t="s">
        <v>32</v>
      </c>
      <c r="J8" s="49" t="s">
        <v>31</v>
      </c>
      <c r="K8" s="49">
        <f>0.443+1.9*K4/10^4</f>
        <v>0.49809999999999999</v>
      </c>
    </row>
    <row r="9" spans="2:12" x14ac:dyDescent="0.3">
      <c r="B9" s="49">
        <v>7</v>
      </c>
      <c r="C9" s="49" t="s">
        <v>33</v>
      </c>
      <c r="D9" s="49" t="s">
        <v>34</v>
      </c>
      <c r="E9" s="49">
        <f>5.771*10^7*E3^-3.001+0.9426</f>
        <v>1.9096884324276384</v>
      </c>
      <c r="H9" s="49">
        <v>7</v>
      </c>
      <c r="I9" s="49" t="s">
        <v>33</v>
      </c>
      <c r="J9" s="49" t="s">
        <v>34</v>
      </c>
      <c r="K9" s="49">
        <f>22.714-0.12*K3+2.281*K3^2/10^4-1.474*K3^3/10^7</f>
        <v>1.1438452750000074</v>
      </c>
    </row>
    <row r="10" spans="2:12" x14ac:dyDescent="0.3">
      <c r="B10" s="49">
        <v>8</v>
      </c>
      <c r="C10" s="49" t="s">
        <v>35</v>
      </c>
      <c r="D10" s="49" t="s">
        <v>34</v>
      </c>
      <c r="E10" s="49">
        <f>5.771*10^7*E4^-3.001+0.9426</f>
        <v>9.3123313409728574</v>
      </c>
      <c r="H10" s="49">
        <v>8</v>
      </c>
      <c r="I10" s="49" t="s">
        <v>35</v>
      </c>
      <c r="J10" s="49" t="s">
        <v>34</v>
      </c>
      <c r="K10" s="49">
        <f>22.714-0.12*K4+2.281*K4^2/10^4-1.474*K4^3/10^7</f>
        <v>3.5022714000000006</v>
      </c>
    </row>
    <row r="11" spans="2:12" x14ac:dyDescent="0.3">
      <c r="B11" s="49">
        <v>9</v>
      </c>
      <c r="C11" s="49" t="s">
        <v>36</v>
      </c>
      <c r="D11" s="49" t="s">
        <v>37</v>
      </c>
      <c r="E11" s="49">
        <f>1.42</f>
        <v>1.42</v>
      </c>
      <c r="H11" s="49">
        <v>9</v>
      </c>
      <c r="I11" s="49" t="s">
        <v>38</v>
      </c>
      <c r="J11" s="49" t="s">
        <v>37</v>
      </c>
      <c r="K11" s="49">
        <f>(1443+0.172*K3)/1000</f>
        <v>1.5401800000000001</v>
      </c>
    </row>
    <row r="12" spans="2:12" x14ac:dyDescent="0.3">
      <c r="B12" s="49">
        <v>10</v>
      </c>
      <c r="C12" s="49" t="s">
        <v>39</v>
      </c>
      <c r="D12" s="49" t="s">
        <v>37</v>
      </c>
      <c r="E12" s="49">
        <f>1.42</f>
        <v>1.42</v>
      </c>
      <c r="H12" s="49">
        <v>10</v>
      </c>
      <c r="I12" s="49" t="s">
        <v>40</v>
      </c>
      <c r="J12" s="49" t="s">
        <v>37</v>
      </c>
      <c r="K12" s="49">
        <f>(1443+0.172*K4)/1000</f>
        <v>1.4928800000000002</v>
      </c>
    </row>
  </sheetData>
  <mergeCells count="2">
    <mergeCell ref="B1:F1"/>
    <mergeCell ref="H1:L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4"/>
  <sheetViews>
    <sheetView workbookViewId="0">
      <selection activeCell="E14" sqref="E14"/>
    </sheetView>
  </sheetViews>
  <sheetFormatPr defaultColWidth="9" defaultRowHeight="14" x14ac:dyDescent="0.3"/>
  <cols>
    <col min="1" max="1" width="9.1640625" style="49"/>
    <col min="2" max="2" width="17.4140625" style="49" customWidth="1"/>
    <col min="3" max="4" width="9.1640625" style="49"/>
    <col min="5" max="5" width="16.5" style="49" customWidth="1"/>
    <col min="6" max="6" width="23.9140625" customWidth="1"/>
  </cols>
  <sheetData>
    <row r="1" spans="1:6" x14ac:dyDescent="0.3">
      <c r="A1" s="49" t="s">
        <v>3</v>
      </c>
      <c r="B1" s="49" t="s">
        <v>41</v>
      </c>
      <c r="C1" s="49" t="s">
        <v>5</v>
      </c>
      <c r="D1" s="49" t="s">
        <v>22</v>
      </c>
      <c r="E1" s="49" t="s">
        <v>6</v>
      </c>
      <c r="F1" s="49" t="s">
        <v>42</v>
      </c>
    </row>
    <row r="2" spans="1:6" x14ac:dyDescent="0.3">
      <c r="A2" s="49">
        <v>1</v>
      </c>
      <c r="B2" s="49" t="s">
        <v>43</v>
      </c>
      <c r="C2" s="49" t="s">
        <v>44</v>
      </c>
      <c r="D2" s="49">
        <v>1.5</v>
      </c>
      <c r="F2" s="62" t="s">
        <v>45</v>
      </c>
    </row>
    <row r="3" spans="1:6" x14ac:dyDescent="0.3">
      <c r="A3" s="49">
        <v>2</v>
      </c>
      <c r="B3" s="49" t="s">
        <v>46</v>
      </c>
      <c r="C3" s="49" t="s">
        <v>24</v>
      </c>
      <c r="D3" s="49">
        <v>200</v>
      </c>
      <c r="F3" s="62"/>
    </row>
    <row r="4" spans="1:6" x14ac:dyDescent="0.3">
      <c r="A4" s="49">
        <v>3</v>
      </c>
      <c r="B4" s="49" t="s">
        <v>47</v>
      </c>
      <c r="C4" s="49" t="s">
        <v>48</v>
      </c>
      <c r="D4" s="49">
        <v>100</v>
      </c>
      <c r="F4" s="62"/>
    </row>
    <row r="5" spans="1:6" x14ac:dyDescent="0.3">
      <c r="A5" s="49">
        <v>4</v>
      </c>
      <c r="B5" s="49" t="s">
        <v>49</v>
      </c>
      <c r="C5" s="49" t="s">
        <v>44</v>
      </c>
      <c r="D5" s="49">
        <v>0.1</v>
      </c>
      <c r="F5" s="62"/>
    </row>
    <row r="6" spans="1:6" x14ac:dyDescent="0.3">
      <c r="A6" s="49">
        <v>5</v>
      </c>
      <c r="B6" s="49" t="s">
        <v>50</v>
      </c>
      <c r="C6" s="49" t="s">
        <v>24</v>
      </c>
      <c r="D6" s="49">
        <v>20</v>
      </c>
      <c r="F6" s="62"/>
    </row>
    <row r="7" spans="1:6" x14ac:dyDescent="0.3">
      <c r="A7" s="49">
        <v>6</v>
      </c>
      <c r="B7" s="49" t="s">
        <v>51</v>
      </c>
      <c r="C7" s="49" t="s">
        <v>52</v>
      </c>
      <c r="D7" s="49">
        <v>8</v>
      </c>
      <c r="F7" s="62"/>
    </row>
    <row r="8" spans="1:6" x14ac:dyDescent="0.3">
      <c r="A8" s="49">
        <v>7</v>
      </c>
      <c r="B8" s="49" t="s">
        <v>53</v>
      </c>
      <c r="C8" s="49" t="s">
        <v>52</v>
      </c>
      <c r="D8" s="49">
        <v>8</v>
      </c>
      <c r="F8" s="62"/>
    </row>
    <row r="9" spans="1:6" x14ac:dyDescent="0.3">
      <c r="A9" s="49">
        <v>8</v>
      </c>
      <c r="B9" s="49" t="s">
        <v>54</v>
      </c>
      <c r="C9" s="49" t="s">
        <v>55</v>
      </c>
      <c r="D9" s="49">
        <v>330</v>
      </c>
      <c r="F9" s="62"/>
    </row>
    <row r="10" spans="1:6" x14ac:dyDescent="0.3">
      <c r="A10" s="49">
        <v>9</v>
      </c>
      <c r="B10" s="49" t="s">
        <v>56</v>
      </c>
      <c r="C10" s="49" t="s">
        <v>57</v>
      </c>
      <c r="D10" s="49">
        <v>0.98499999999999999</v>
      </c>
      <c r="F10" s="62"/>
    </row>
    <row r="11" spans="1:6" x14ac:dyDescent="0.3">
      <c r="A11" s="49">
        <v>10</v>
      </c>
      <c r="B11" s="49" t="s">
        <v>58</v>
      </c>
      <c r="C11" s="49" t="s">
        <v>24</v>
      </c>
      <c r="D11" s="49">
        <v>30</v>
      </c>
      <c r="F11" s="62"/>
    </row>
    <row r="12" spans="1:6" x14ac:dyDescent="0.3">
      <c r="A12" s="49">
        <v>11</v>
      </c>
      <c r="B12" s="49" t="s">
        <v>59</v>
      </c>
      <c r="C12" s="49" t="s">
        <v>57</v>
      </c>
      <c r="D12" s="49">
        <v>1.3</v>
      </c>
      <c r="E12" s="49" t="s">
        <v>60</v>
      </c>
      <c r="F12" s="62"/>
    </row>
    <row r="13" spans="1:6" x14ac:dyDescent="0.3">
      <c r="A13" s="49">
        <v>12</v>
      </c>
      <c r="B13" s="49" t="s">
        <v>61</v>
      </c>
      <c r="C13" s="49" t="s">
        <v>57</v>
      </c>
      <c r="D13" s="49">
        <v>0.99</v>
      </c>
      <c r="F13" s="62"/>
    </row>
    <row r="14" spans="1:6" x14ac:dyDescent="0.3">
      <c r="A14" s="49">
        <v>13</v>
      </c>
      <c r="B14" s="49" t="s">
        <v>62</v>
      </c>
      <c r="C14" s="49" t="s">
        <v>57</v>
      </c>
      <c r="D14" s="49">
        <v>0.99</v>
      </c>
      <c r="F14" s="62"/>
    </row>
  </sheetData>
  <mergeCells count="1">
    <mergeCell ref="F2:F14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11"/>
  <sheetViews>
    <sheetView tabSelected="1" workbookViewId="0">
      <selection activeCell="D3" sqref="D3"/>
    </sheetView>
  </sheetViews>
  <sheetFormatPr defaultColWidth="9" defaultRowHeight="14" x14ac:dyDescent="0.3"/>
  <cols>
    <col min="1" max="1" width="9.1640625" style="49" customWidth="1"/>
    <col min="2" max="2" width="12.33203125" style="49" customWidth="1"/>
    <col min="3" max="3" width="9.1640625" style="49" customWidth="1"/>
    <col min="4" max="4" width="8.9140625" style="49" customWidth="1"/>
    <col min="5" max="5" width="29.33203125" customWidth="1"/>
    <col min="7" max="7" width="9.1640625" style="49"/>
    <col min="8" max="8" width="12.9140625" style="49" customWidth="1"/>
    <col min="9" max="9" width="9.1640625" style="49"/>
    <col min="10" max="10" width="11.4140625" style="49" customWidth="1"/>
    <col min="11" max="11" width="28.58203125" customWidth="1"/>
  </cols>
  <sheetData>
    <row r="1" spans="1:11" x14ac:dyDescent="0.3">
      <c r="A1" s="56" t="s">
        <v>0</v>
      </c>
      <c r="B1" s="56"/>
      <c r="C1" s="56"/>
      <c r="D1" s="56"/>
      <c r="E1" s="56"/>
      <c r="G1" s="56" t="s">
        <v>14</v>
      </c>
      <c r="H1" s="56"/>
      <c r="I1" s="56"/>
      <c r="J1" s="56"/>
      <c r="K1" s="56"/>
    </row>
    <row r="2" spans="1:11" x14ac:dyDescent="0.3">
      <c r="A2" s="49" t="s">
        <v>3</v>
      </c>
      <c r="B2" s="49" t="s">
        <v>41</v>
      </c>
      <c r="C2" s="49" t="s">
        <v>5</v>
      </c>
      <c r="D2" s="49" t="s">
        <v>22</v>
      </c>
      <c r="E2" s="49" t="s">
        <v>6</v>
      </c>
      <c r="G2" s="49" t="s">
        <v>3</v>
      </c>
      <c r="H2" s="49" t="s">
        <v>41</v>
      </c>
      <c r="I2" s="49" t="s">
        <v>5</v>
      </c>
      <c r="J2" s="49" t="s">
        <v>22</v>
      </c>
      <c r="K2" s="49" t="s">
        <v>6</v>
      </c>
    </row>
    <row r="3" spans="1:11" x14ac:dyDescent="0.3">
      <c r="A3" s="49">
        <v>1</v>
      </c>
      <c r="B3" s="49" t="s">
        <v>63</v>
      </c>
      <c r="C3" s="49" t="s">
        <v>64</v>
      </c>
      <c r="D3" s="49" cm="1">
        <f t="array" ref="D3">[1]!enthalpy("water","PT","SI with C",输入!D2,输入!D3)</f>
        <v>2795.9839249209276</v>
      </c>
      <c r="E3" t="s">
        <v>65</v>
      </c>
      <c r="G3" s="49">
        <v>1</v>
      </c>
      <c r="H3" s="49" t="s">
        <v>63</v>
      </c>
      <c r="I3" s="49" t="s">
        <v>64</v>
      </c>
      <c r="J3" s="49" cm="1">
        <f t="array" ref="J3">[1]!enthalpy("water","PT","SI with C",输入!D2,输入!D3)</f>
        <v>2795.9839249209276</v>
      </c>
      <c r="K3" t="s">
        <v>65</v>
      </c>
    </row>
    <row r="4" spans="1:11" x14ac:dyDescent="0.3">
      <c r="A4" s="49">
        <v>2</v>
      </c>
      <c r="B4" s="49" t="s">
        <v>66</v>
      </c>
      <c r="C4" s="49" t="s">
        <v>64</v>
      </c>
      <c r="D4" s="49" cm="1">
        <f t="array" ref="D4">[1]!enthalpy("water","PT","SI with C",输入!D5,输入!D6)</f>
        <v>84.006053942996402</v>
      </c>
      <c r="E4" t="s">
        <v>67</v>
      </c>
      <c r="G4" s="49">
        <v>2</v>
      </c>
      <c r="H4" s="49" t="s">
        <v>66</v>
      </c>
      <c r="I4" s="49" t="s">
        <v>64</v>
      </c>
      <c r="J4" s="49" cm="1">
        <f t="array" ref="J4">[1]!enthalpy("water","PT","SI with C",输入!D5,输入!D6)</f>
        <v>84.006053942996402</v>
      </c>
      <c r="K4" t="s">
        <v>67</v>
      </c>
    </row>
    <row r="5" spans="1:11" x14ac:dyDescent="0.3">
      <c r="A5" s="49">
        <v>3</v>
      </c>
      <c r="B5" s="49" t="s">
        <v>68</v>
      </c>
      <c r="C5" s="49" t="s">
        <v>9</v>
      </c>
      <c r="D5" s="49">
        <f>输入!D4*(计算!D3-计算!D4)/3600</f>
        <v>75.332718638275864</v>
      </c>
      <c r="E5" t="s">
        <v>69</v>
      </c>
      <c r="G5" s="49">
        <v>3</v>
      </c>
      <c r="H5" s="49" t="s">
        <v>68</v>
      </c>
      <c r="I5" s="49" t="s">
        <v>9</v>
      </c>
      <c r="J5" s="49">
        <f>输入!D4*(J3-J4)/3600</f>
        <v>75.332718638275864</v>
      </c>
      <c r="K5" t="s">
        <v>69</v>
      </c>
    </row>
    <row r="6" spans="1:11" x14ac:dyDescent="0.3">
      <c r="A6" s="49">
        <v>4</v>
      </c>
      <c r="B6" s="49" t="s">
        <v>70</v>
      </c>
      <c r="C6" s="49" t="s">
        <v>71</v>
      </c>
      <c r="D6" s="49">
        <f>D5*输入!D7/输入!D13</f>
        <v>608.74924152142114</v>
      </c>
      <c r="E6" t="s">
        <v>72</v>
      </c>
      <c r="G6" s="49">
        <v>4</v>
      </c>
      <c r="H6" s="49" t="s">
        <v>70</v>
      </c>
      <c r="I6" s="49" t="s">
        <v>71</v>
      </c>
      <c r="J6" s="49">
        <f>J5*输入!D7/输入!D13</f>
        <v>608.74924152142114</v>
      </c>
      <c r="K6" t="s">
        <v>72</v>
      </c>
    </row>
    <row r="7" spans="1:11" x14ac:dyDescent="0.3">
      <c r="A7" s="49">
        <v>5</v>
      </c>
      <c r="B7" s="49" t="s">
        <v>73</v>
      </c>
      <c r="C7" s="49" t="s">
        <v>9</v>
      </c>
      <c r="D7" s="49">
        <f>D6/输入!D8/输入!D10</f>
        <v>77.252441817439234</v>
      </c>
      <c r="E7" t="s">
        <v>74</v>
      </c>
      <c r="G7" s="49">
        <v>5</v>
      </c>
      <c r="H7" s="49" t="s">
        <v>75</v>
      </c>
      <c r="I7" s="49" t="s">
        <v>17</v>
      </c>
      <c r="J7" s="49">
        <f>J6/输入!D8</f>
        <v>76.093655190177643</v>
      </c>
      <c r="K7" t="s">
        <v>74</v>
      </c>
    </row>
    <row r="8" spans="1:11" x14ac:dyDescent="0.3">
      <c r="A8" s="49">
        <v>6</v>
      </c>
      <c r="B8" s="49" t="s">
        <v>76</v>
      </c>
      <c r="C8" s="49" t="s">
        <v>71</v>
      </c>
      <c r="D8" s="49">
        <f>D6/输入!D14</f>
        <v>614.89822375901122</v>
      </c>
      <c r="E8" t="s">
        <v>77</v>
      </c>
      <c r="G8" s="49">
        <v>6</v>
      </c>
      <c r="H8" s="49" t="s">
        <v>78</v>
      </c>
      <c r="I8" s="49" t="s">
        <v>9</v>
      </c>
      <c r="J8" s="49">
        <f>J6/输入!D8/输入!D12</f>
        <v>58.533580915521263</v>
      </c>
      <c r="K8" t="s">
        <v>79</v>
      </c>
    </row>
    <row r="9" spans="1:11" x14ac:dyDescent="0.3">
      <c r="A9" s="49">
        <v>7</v>
      </c>
      <c r="B9" s="49" t="s">
        <v>80</v>
      </c>
      <c r="C9" s="49" t="s">
        <v>81</v>
      </c>
      <c r="D9" s="49">
        <f>D7*输入!D8*输入!D9/10</f>
        <v>20394.644639803959</v>
      </c>
      <c r="G9" s="49">
        <v>7</v>
      </c>
      <c r="H9" s="49" t="s">
        <v>76</v>
      </c>
      <c r="I9" s="49" t="s">
        <v>71</v>
      </c>
      <c r="J9" s="49">
        <f>J6/输入!D14</f>
        <v>614.89822375901122</v>
      </c>
      <c r="K9" t="s">
        <v>77</v>
      </c>
    </row>
    <row r="10" spans="1:11" x14ac:dyDescent="0.3">
      <c r="A10" s="49">
        <v>8</v>
      </c>
      <c r="B10" s="49" t="s">
        <v>82</v>
      </c>
      <c r="C10" s="49" t="s">
        <v>83</v>
      </c>
      <c r="D10" s="49">
        <f>输入!D4*输入!D8*输入!D9/10000</f>
        <v>26.4</v>
      </c>
      <c r="G10" s="49">
        <v>8</v>
      </c>
      <c r="H10" s="49" t="s">
        <v>80</v>
      </c>
      <c r="I10" s="49" t="s">
        <v>81</v>
      </c>
      <c r="J10" s="49">
        <f>J8*输入!D8*输入!D9/10</f>
        <v>15452.865361697613</v>
      </c>
    </row>
    <row r="11" spans="1:11" x14ac:dyDescent="0.3">
      <c r="G11" s="49">
        <v>9</v>
      </c>
      <c r="H11" s="49" t="s">
        <v>82</v>
      </c>
      <c r="I11" s="49" t="s">
        <v>83</v>
      </c>
      <c r="J11" s="49">
        <f>输入!D4*输入!D7*输入!D9/10000</f>
        <v>26.4</v>
      </c>
    </row>
  </sheetData>
  <mergeCells count="2">
    <mergeCell ref="A1:E1"/>
    <mergeCell ref="G1:K1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2"/>
  <sheetViews>
    <sheetView workbookViewId="0">
      <selection activeCell="J5" sqref="J5"/>
    </sheetView>
  </sheetViews>
  <sheetFormatPr defaultColWidth="9" defaultRowHeight="14" x14ac:dyDescent="0.3"/>
  <cols>
    <col min="1" max="1" width="9.1640625" style="49"/>
    <col min="2" max="2" width="12.9140625" style="49" customWidth="1"/>
    <col min="3" max="3" width="9.1640625" style="49"/>
    <col min="4" max="4" width="10.9140625" style="49" customWidth="1"/>
    <col min="5" max="5" width="16" customWidth="1"/>
    <col min="6" max="6" width="36.75" customWidth="1"/>
  </cols>
  <sheetData>
    <row r="1" spans="1:6" x14ac:dyDescent="0.3">
      <c r="A1" s="49" t="s">
        <v>3</v>
      </c>
      <c r="B1" s="49" t="s">
        <v>41</v>
      </c>
      <c r="C1" s="49" t="s">
        <v>5</v>
      </c>
      <c r="D1" s="49" t="s">
        <v>22</v>
      </c>
      <c r="E1" s="56" t="s">
        <v>6</v>
      </c>
      <c r="F1" s="56"/>
    </row>
    <row r="2" spans="1:6" x14ac:dyDescent="0.3">
      <c r="A2" s="56">
        <v>1</v>
      </c>
      <c r="B2" s="49" t="s">
        <v>0</v>
      </c>
      <c r="C2" s="49" t="s">
        <v>9</v>
      </c>
      <c r="D2" s="49">
        <f>ROUNDUP(计算!D7,-1)</f>
        <v>80</v>
      </c>
      <c r="E2" s="56" t="s">
        <v>84</v>
      </c>
      <c r="F2" s="56"/>
    </row>
    <row r="3" spans="1:6" x14ac:dyDescent="0.3">
      <c r="A3" s="56"/>
      <c r="B3" s="49" t="s">
        <v>14</v>
      </c>
      <c r="C3" s="49" t="s">
        <v>17</v>
      </c>
      <c r="D3" s="49">
        <f>ROUNDUP(计算!J7,-1)</f>
        <v>80</v>
      </c>
      <c r="E3" s="56" t="s">
        <v>85</v>
      </c>
      <c r="F3" s="56"/>
    </row>
    <row r="4" spans="1:6" x14ac:dyDescent="0.3">
      <c r="A4" s="49">
        <v>2</v>
      </c>
      <c r="B4" s="49" t="s">
        <v>76</v>
      </c>
      <c r="C4" s="49" t="s">
        <v>71</v>
      </c>
      <c r="D4" s="49">
        <f>ROUNDUP(计算!D8,-1)</f>
        <v>620</v>
      </c>
      <c r="E4" s="56"/>
      <c r="F4" s="56"/>
    </row>
    <row r="5" spans="1:6" ht="42.5" customHeight="1" x14ac:dyDescent="0.3">
      <c r="A5" s="49">
        <v>3</v>
      </c>
      <c r="B5" s="49" t="s">
        <v>86</v>
      </c>
      <c r="C5" s="49" t="s">
        <v>57</v>
      </c>
      <c r="D5" s="49" t="s">
        <v>19</v>
      </c>
      <c r="E5" s="62" t="s">
        <v>87</v>
      </c>
      <c r="F5" s="62"/>
    </row>
    <row r="6" spans="1:6" x14ac:dyDescent="0.3">
      <c r="A6" s="49">
        <v>4</v>
      </c>
      <c r="B6" s="49" t="s">
        <v>23</v>
      </c>
      <c r="C6" s="49" t="s">
        <v>24</v>
      </c>
      <c r="D6" s="49">
        <v>390</v>
      </c>
      <c r="E6" s="56"/>
      <c r="F6" s="56"/>
    </row>
    <row r="7" spans="1:6" x14ac:dyDescent="0.3">
      <c r="A7" s="49">
        <v>5</v>
      </c>
      <c r="B7" s="49" t="s">
        <v>26</v>
      </c>
      <c r="C7" s="49" t="s">
        <v>24</v>
      </c>
      <c r="D7" s="49">
        <v>190</v>
      </c>
      <c r="E7" s="56"/>
      <c r="F7" s="56"/>
    </row>
    <row r="8" spans="1:6" x14ac:dyDescent="0.3">
      <c r="A8" s="49">
        <v>6</v>
      </c>
      <c r="B8" s="49" t="s">
        <v>88</v>
      </c>
      <c r="C8" s="49" t="s">
        <v>89</v>
      </c>
      <c r="D8" s="49">
        <f>1.42</f>
        <v>1.42</v>
      </c>
      <c r="E8" s="56" t="s">
        <v>90</v>
      </c>
      <c r="F8" s="56"/>
    </row>
    <row r="9" spans="1:6" x14ac:dyDescent="0.3">
      <c r="A9" s="49">
        <v>7</v>
      </c>
      <c r="B9" s="49" t="s">
        <v>91</v>
      </c>
      <c r="C9" s="49" t="s">
        <v>92</v>
      </c>
      <c r="D9" s="49">
        <f>ROUNDUP(D4*3600/D8/(D6-D7)*1.1,-1)</f>
        <v>8650</v>
      </c>
      <c r="E9" s="56"/>
      <c r="F9" s="56"/>
    </row>
    <row r="10" spans="1:6" x14ac:dyDescent="0.3">
      <c r="A10" s="49">
        <v>8</v>
      </c>
      <c r="B10" s="49" t="s">
        <v>68</v>
      </c>
      <c r="C10" s="49" t="s">
        <v>9</v>
      </c>
      <c r="D10" s="49">
        <f>ROUNDUP(计算!D5,0)</f>
        <v>76</v>
      </c>
      <c r="E10" s="56"/>
      <c r="F10" s="56"/>
    </row>
    <row r="11" spans="1:6" x14ac:dyDescent="0.3">
      <c r="A11" s="56">
        <v>9</v>
      </c>
      <c r="B11" s="56" t="s">
        <v>93</v>
      </c>
      <c r="C11" s="56" t="s">
        <v>12</v>
      </c>
      <c r="D11" s="49" cm="1">
        <f t="array" ref="D11">_xlfn.IFS(计算!D7&lt;=16,16,计算!D7&lt;=20,20,计算!D7&lt;=25,25,计算!D7&lt;=31.5,31.5,计算!D7&lt;=40,40,计算!D7&lt;=50,50,计算!D7&lt;=63,63,计算!D7&lt;=90,90,计算!D7&lt;=120,120)</f>
        <v>90</v>
      </c>
      <c r="E11" s="49" t="s">
        <v>84</v>
      </c>
      <c r="F11" s="62" t="s">
        <v>94</v>
      </c>
    </row>
    <row r="12" spans="1:6" x14ac:dyDescent="0.3">
      <c r="A12" s="56"/>
      <c r="B12" s="56"/>
      <c r="C12" s="56"/>
      <c r="D12" s="49" cm="1">
        <f t="array" ref="D12">_xlfn.IFS(ROUNDUP(计算!J8/0.85,0)&lt;=16,16,ROUNDUP(计算!J8/0.85,0)&lt;=20,20,ROUNDUP(计算!J8/0.85,0)&lt;=25,25,ROUNDUP(计算!J8/0.85,0)&lt;=31.5,31.5,ROUNDUP(计算!J8/0.85,0)&lt;=40,40,ROUNDUP(计算!J8/0.85,0)&lt;=50,50,ROUNDUP(计算!J8/0.85,0)&lt;=63,63,ROUNDUP(计算!J8/0.85,0)&lt;=90,90,ROUNDUP(计算!J8/0.85,0)&lt;=120,120)</f>
        <v>90</v>
      </c>
      <c r="E12" s="49" t="s">
        <v>85</v>
      </c>
      <c r="F12" s="62"/>
    </row>
  </sheetData>
  <mergeCells count="15">
    <mergeCell ref="A2:A3"/>
    <mergeCell ref="A11:A12"/>
    <mergeCell ref="B11:B12"/>
    <mergeCell ref="C11:C12"/>
    <mergeCell ref="F11:F12"/>
    <mergeCell ref="E6:F6"/>
    <mergeCell ref="E7:F7"/>
    <mergeCell ref="E8:F8"/>
    <mergeCell ref="E9:F9"/>
    <mergeCell ref="E10:F10"/>
    <mergeCell ref="E1:F1"/>
    <mergeCell ref="E2:F2"/>
    <mergeCell ref="E3:F3"/>
    <mergeCell ref="E4:F4"/>
    <mergeCell ref="E5:F5"/>
  </mergeCells>
  <phoneticPr fontId="9" type="noConversion"/>
  <dataValidations count="1">
    <dataValidation type="list" allowBlank="1" showInputMessage="1" showErrorMessage="1" sqref="D5" xr:uid="{00000000-0002-0000-0400-000000000000}">
      <formula1>"HITEC熔盐,太阳盐"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19"/>
  <sheetViews>
    <sheetView workbookViewId="0">
      <selection activeCell="D14" sqref="D14"/>
    </sheetView>
  </sheetViews>
  <sheetFormatPr defaultColWidth="9" defaultRowHeight="14" x14ac:dyDescent="0.3"/>
  <cols>
    <col min="2" max="2" width="11.33203125" customWidth="1"/>
    <col min="5" max="5" width="14.25" customWidth="1"/>
    <col min="6" max="6" width="39.4140625" customWidth="1"/>
  </cols>
  <sheetData>
    <row r="1" spans="1:6" x14ac:dyDescent="0.3">
      <c r="A1" s="57" t="s">
        <v>0</v>
      </c>
      <c r="B1" s="58"/>
      <c r="C1" s="58"/>
      <c r="D1" s="58"/>
      <c r="E1" s="58"/>
      <c r="F1" s="59"/>
    </row>
    <row r="2" spans="1:6" x14ac:dyDescent="0.3">
      <c r="A2" s="48" t="s">
        <v>3</v>
      </c>
      <c r="B2" s="49" t="s">
        <v>41</v>
      </c>
      <c r="C2" s="49" t="s">
        <v>5</v>
      </c>
      <c r="D2" s="49" t="s">
        <v>95</v>
      </c>
      <c r="E2" s="49" t="s">
        <v>96</v>
      </c>
      <c r="F2" s="50" t="s">
        <v>6</v>
      </c>
    </row>
    <row r="3" spans="1:6" x14ac:dyDescent="0.3">
      <c r="A3" s="48">
        <v>1</v>
      </c>
      <c r="B3" s="49" t="s">
        <v>0</v>
      </c>
      <c r="C3" s="49" t="s">
        <v>97</v>
      </c>
      <c r="D3" s="49">
        <f>IF(选型!D2&lt;100,40,IF(选型!D2&lt;200,38,35))</f>
        <v>40</v>
      </c>
      <c r="E3" s="49">
        <f>D3*选型!D2</f>
        <v>3200</v>
      </c>
      <c r="F3" s="51" t="s">
        <v>98</v>
      </c>
    </row>
    <row r="4" spans="1:6" ht="28" x14ac:dyDescent="0.3">
      <c r="A4" s="48">
        <v>2</v>
      </c>
      <c r="B4" s="49" t="s">
        <v>99</v>
      </c>
      <c r="C4" s="49" t="s">
        <v>97</v>
      </c>
      <c r="D4" s="49">
        <f>IF(选型!D9&lt;10000,1.2,IF(选型!D9&lt;20000,1.1,1))</f>
        <v>1.2</v>
      </c>
      <c r="E4" s="49">
        <f>D4*选型!D9</f>
        <v>10380</v>
      </c>
      <c r="F4" s="52" t="s">
        <v>100</v>
      </c>
    </row>
    <row r="5" spans="1:6" x14ac:dyDescent="0.3">
      <c r="A5" s="48">
        <v>3</v>
      </c>
      <c r="B5" s="49" t="s">
        <v>101</v>
      </c>
      <c r="C5" s="49" t="s">
        <v>97</v>
      </c>
      <c r="D5" s="49">
        <f>IF(选型!D10&lt;250,35,IF(选型!D10&lt;350,32,30))</f>
        <v>35</v>
      </c>
      <c r="E5" s="49">
        <f>D5*选型!D10</f>
        <v>2660</v>
      </c>
      <c r="F5" s="51" t="s">
        <v>102</v>
      </c>
    </row>
    <row r="6" spans="1:6" x14ac:dyDescent="0.3">
      <c r="A6" s="48">
        <v>4</v>
      </c>
      <c r="B6" s="49" t="s">
        <v>103</v>
      </c>
      <c r="C6" s="49" t="s">
        <v>97</v>
      </c>
      <c r="D6" s="49">
        <v>12</v>
      </c>
      <c r="E6" s="49">
        <f>D6*选型!D11</f>
        <v>1080</v>
      </c>
      <c r="F6" s="51" t="s">
        <v>104</v>
      </c>
    </row>
    <row r="7" spans="1:6" x14ac:dyDescent="0.3">
      <c r="A7" s="48">
        <v>5</v>
      </c>
      <c r="B7" s="49" t="s">
        <v>105</v>
      </c>
      <c r="C7" s="49" t="s">
        <v>97</v>
      </c>
      <c r="D7" s="49" t="s">
        <v>57</v>
      </c>
      <c r="E7" s="49">
        <f>SUM(E3:E6)</f>
        <v>17320</v>
      </c>
      <c r="F7" s="51"/>
    </row>
    <row r="8" spans="1:6" x14ac:dyDescent="0.3">
      <c r="A8" s="48">
        <v>6</v>
      </c>
      <c r="B8" s="49" t="s">
        <v>106</v>
      </c>
      <c r="C8" s="49" t="s">
        <v>97</v>
      </c>
      <c r="D8" s="49"/>
      <c r="E8" s="49">
        <f>E9-E7</f>
        <v>4330</v>
      </c>
      <c r="F8" s="51" t="s">
        <v>107</v>
      </c>
    </row>
    <row r="9" spans="1:6" x14ac:dyDescent="0.3">
      <c r="A9" s="53">
        <v>7</v>
      </c>
      <c r="B9" s="54" t="s">
        <v>108</v>
      </c>
      <c r="C9" s="54" t="s">
        <v>97</v>
      </c>
      <c r="D9" s="54"/>
      <c r="E9" s="54">
        <f>E7/0.8</f>
        <v>21650</v>
      </c>
      <c r="F9" s="55" t="s">
        <v>109</v>
      </c>
    </row>
    <row r="11" spans="1:6" x14ac:dyDescent="0.3">
      <c r="A11" s="57" t="s">
        <v>14</v>
      </c>
      <c r="B11" s="58"/>
      <c r="C11" s="58"/>
      <c r="D11" s="58"/>
      <c r="E11" s="58"/>
      <c r="F11" s="59"/>
    </row>
    <row r="12" spans="1:6" x14ac:dyDescent="0.3">
      <c r="A12" s="48" t="s">
        <v>3</v>
      </c>
      <c r="B12" s="49" t="s">
        <v>41</v>
      </c>
      <c r="C12" s="49" t="s">
        <v>5</v>
      </c>
      <c r="D12" s="49" t="s">
        <v>95</v>
      </c>
      <c r="E12" s="49" t="s">
        <v>96</v>
      </c>
      <c r="F12" s="50" t="s">
        <v>6</v>
      </c>
    </row>
    <row r="13" spans="1:6" x14ac:dyDescent="0.3">
      <c r="A13" s="48">
        <v>1</v>
      </c>
      <c r="B13" s="49" t="s">
        <v>14</v>
      </c>
      <c r="C13" s="49" t="s">
        <v>97</v>
      </c>
      <c r="D13" s="49">
        <f>IF(选型!D3&lt;150,IF(输入!D11&lt;50,94,80),IF(输入!D11&lt;50,85,73))</f>
        <v>94</v>
      </c>
      <c r="E13" s="49">
        <f>D13*选型!D3</f>
        <v>7520</v>
      </c>
      <c r="F13" s="51" t="s">
        <v>110</v>
      </c>
    </row>
    <row r="14" spans="1:6" ht="28" x14ac:dyDescent="0.3">
      <c r="A14" s="48">
        <v>2</v>
      </c>
      <c r="B14" s="49" t="s">
        <v>99</v>
      </c>
      <c r="C14" s="49" t="s">
        <v>97</v>
      </c>
      <c r="D14" s="49">
        <f>IF(选型!D9&lt;10000,1.2,IF(选型!D9&lt;20000,1.1,1))</f>
        <v>1.2</v>
      </c>
      <c r="E14" s="49">
        <f>D14*选型!D9</f>
        <v>10380</v>
      </c>
      <c r="F14" s="52" t="s">
        <v>100</v>
      </c>
    </row>
    <row r="15" spans="1:6" x14ac:dyDescent="0.3">
      <c r="A15" s="48">
        <v>3</v>
      </c>
      <c r="B15" s="49" t="s">
        <v>101</v>
      </c>
      <c r="C15" s="49" t="s">
        <v>97</v>
      </c>
      <c r="D15" s="49">
        <v>35</v>
      </c>
      <c r="E15" s="49">
        <f>D15*选型!D10</f>
        <v>2660</v>
      </c>
      <c r="F15" s="51" t="s">
        <v>102</v>
      </c>
    </row>
    <row r="16" spans="1:6" x14ac:dyDescent="0.3">
      <c r="A16" s="48">
        <v>4</v>
      </c>
      <c r="B16" s="49" t="s">
        <v>103</v>
      </c>
      <c r="C16" s="49" t="s">
        <v>97</v>
      </c>
      <c r="D16" s="49">
        <v>12</v>
      </c>
      <c r="E16" s="49">
        <f>D16*选型!D12</f>
        <v>1080</v>
      </c>
      <c r="F16" s="51" t="s">
        <v>104</v>
      </c>
    </row>
    <row r="17" spans="1:6" x14ac:dyDescent="0.3">
      <c r="A17" s="48">
        <v>5</v>
      </c>
      <c r="B17" s="49" t="s">
        <v>105</v>
      </c>
      <c r="C17" s="49" t="s">
        <v>97</v>
      </c>
      <c r="D17" s="49" t="s">
        <v>57</v>
      </c>
      <c r="E17" s="49">
        <f>SUM(E13:E16)</f>
        <v>21640</v>
      </c>
      <c r="F17" s="51"/>
    </row>
    <row r="18" spans="1:6" x14ac:dyDescent="0.3">
      <c r="A18" s="48">
        <v>6</v>
      </c>
      <c r="B18" s="49" t="s">
        <v>106</v>
      </c>
      <c r="C18" s="49" t="s">
        <v>97</v>
      </c>
      <c r="D18" s="49"/>
      <c r="E18" s="49">
        <f>E19-E17</f>
        <v>5410</v>
      </c>
      <c r="F18" s="51" t="s">
        <v>107</v>
      </c>
    </row>
    <row r="19" spans="1:6" x14ac:dyDescent="0.3">
      <c r="A19" s="53">
        <v>7</v>
      </c>
      <c r="B19" s="54" t="s">
        <v>108</v>
      </c>
      <c r="C19" s="54" t="s">
        <v>97</v>
      </c>
      <c r="D19" s="54"/>
      <c r="E19" s="54">
        <f>E17/0.8</f>
        <v>27050</v>
      </c>
      <c r="F19" s="55" t="s">
        <v>109</v>
      </c>
    </row>
  </sheetData>
  <mergeCells count="2">
    <mergeCell ref="A1:F1"/>
    <mergeCell ref="A11:F11"/>
  </mergeCells>
  <phoneticPr fontId="9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0"/>
  <sheetViews>
    <sheetView workbookViewId="0">
      <selection activeCell="L17" sqref="L17"/>
    </sheetView>
  </sheetViews>
  <sheetFormatPr defaultColWidth="9" defaultRowHeight="14" x14ac:dyDescent="0.3"/>
  <cols>
    <col min="2" max="2" width="22.1640625" customWidth="1"/>
    <col min="3" max="3" width="13.1640625" customWidth="1"/>
    <col min="4" max="4" width="12.83203125" customWidth="1"/>
    <col min="5" max="5" width="12.25" customWidth="1"/>
    <col min="6" max="6" width="12.4140625" customWidth="1"/>
    <col min="7" max="7" width="12.9140625" customWidth="1"/>
    <col min="8" max="8" width="13.6640625" customWidth="1"/>
    <col min="11" max="11" width="11.5" customWidth="1"/>
    <col min="12" max="12" width="10.58203125" customWidth="1"/>
    <col min="13" max="13" width="10.9140625" customWidth="1"/>
  </cols>
  <sheetData>
    <row r="1" spans="1:14" ht="14.65" customHeight="1" x14ac:dyDescent="0.3">
      <c r="A1" s="1" t="s">
        <v>3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6</v>
      </c>
    </row>
    <row r="2" spans="1:14" x14ac:dyDescent="0.3">
      <c r="A2" s="3" t="s">
        <v>117</v>
      </c>
      <c r="B2" s="4" t="s">
        <v>118</v>
      </c>
      <c r="C2" s="5">
        <f>SUM(C3:C10)</f>
        <v>2936.0181952445596</v>
      </c>
      <c r="D2" s="5">
        <f>SUM(D3:D10)</f>
        <v>14334.871659423054</v>
      </c>
      <c r="E2" s="5">
        <f>SUM(E3:E10)</f>
        <v>2303.1936128216466</v>
      </c>
      <c r="F2" s="6"/>
      <c r="G2" s="6">
        <f>C2+D2+E2+F2</f>
        <v>19574.083467489261</v>
      </c>
      <c r="H2" s="7"/>
    </row>
    <row r="3" spans="1:14" x14ac:dyDescent="0.3">
      <c r="A3" s="8">
        <v>1</v>
      </c>
      <c r="B3" s="9" t="s">
        <v>119</v>
      </c>
      <c r="C3" s="10">
        <f>G3*1155/(26133-2417)</f>
        <v>505.51948051948051</v>
      </c>
      <c r="D3" s="10">
        <f>G3*(22505-2417)/(26133-2417)</f>
        <v>8792.0998482037448</v>
      </c>
      <c r="E3" s="10">
        <f>G3*2473/(26133-2417)</f>
        <v>1082.3806712767753</v>
      </c>
      <c r="F3" s="11"/>
      <c r="G3" s="11">
        <f>造价!E4</f>
        <v>10380</v>
      </c>
      <c r="H3" s="12"/>
    </row>
    <row r="4" spans="1:14" ht="27" x14ac:dyDescent="0.3">
      <c r="A4" s="13">
        <v>2</v>
      </c>
      <c r="B4" s="14" t="s">
        <v>120</v>
      </c>
      <c r="C4" s="15">
        <f>G4/7352*1773</f>
        <v>641.48258977149078</v>
      </c>
      <c r="D4" s="15">
        <f>G4/7352*4349</f>
        <v>1573.4956474428727</v>
      </c>
      <c r="E4" s="15">
        <f>G4/7352*1230</f>
        <v>445.02176278563661</v>
      </c>
      <c r="F4" s="11"/>
      <c r="G4" s="11">
        <f>造价!E5</f>
        <v>2660</v>
      </c>
      <c r="H4" s="7"/>
      <c r="J4" s="16"/>
      <c r="K4" s="17" t="s">
        <v>112</v>
      </c>
      <c r="L4" s="17" t="s">
        <v>113</v>
      </c>
      <c r="M4" s="17" t="s">
        <v>114</v>
      </c>
      <c r="N4" s="17" t="s">
        <v>121</v>
      </c>
    </row>
    <row r="5" spans="1:14" x14ac:dyDescent="0.3">
      <c r="A5" s="13">
        <v>3</v>
      </c>
      <c r="B5" s="14" t="s">
        <v>122</v>
      </c>
      <c r="C5" s="18"/>
      <c r="D5" s="18">
        <f>G5</f>
        <v>3200</v>
      </c>
      <c r="E5" s="18"/>
      <c r="F5" s="11"/>
      <c r="G5" s="11">
        <f>造价!E3</f>
        <v>3200</v>
      </c>
      <c r="H5" s="7"/>
      <c r="J5" s="16" t="s">
        <v>123</v>
      </c>
      <c r="K5" s="16">
        <f>N5/1.21*0.14</f>
        <v>870.08264462809927</v>
      </c>
      <c r="L5" s="16">
        <f>N5/1.21*1</f>
        <v>6214.8760330578516</v>
      </c>
      <c r="M5" s="16">
        <f>N5/1.21*0.07</f>
        <v>435.04132231404964</v>
      </c>
      <c r="N5" s="16">
        <f>造价!E13</f>
        <v>7520</v>
      </c>
    </row>
    <row r="6" spans="1:14" x14ac:dyDescent="0.3">
      <c r="A6" s="8">
        <v>4</v>
      </c>
      <c r="B6" s="14" t="s">
        <v>124</v>
      </c>
      <c r="C6" s="18">
        <f>G6/13499*2608</f>
        <v>0</v>
      </c>
      <c r="D6" s="18">
        <f>G6/13499*7812</f>
        <v>0</v>
      </c>
      <c r="E6" s="18">
        <f>G6/13499*3079</f>
        <v>0</v>
      </c>
      <c r="F6" s="11"/>
      <c r="G6" s="11">
        <v>0</v>
      </c>
      <c r="H6" s="7"/>
    </row>
    <row r="7" spans="1:14" x14ac:dyDescent="0.3">
      <c r="A7" s="13">
        <v>5</v>
      </c>
      <c r="B7" s="14" t="s">
        <v>125</v>
      </c>
      <c r="C7" s="18">
        <f>G7/3168*1351</f>
        <v>0</v>
      </c>
      <c r="D7" s="18">
        <f>G7/3168*1616</f>
        <v>0</v>
      </c>
      <c r="E7" s="18">
        <f>G7/3168*201</f>
        <v>0</v>
      </c>
      <c r="F7" s="11"/>
      <c r="G7" s="11">
        <v>0</v>
      </c>
      <c r="H7" s="7"/>
    </row>
    <row r="8" spans="1:14" x14ac:dyDescent="0.3">
      <c r="A8" s="13">
        <v>6</v>
      </c>
      <c r="B8" s="14" t="s">
        <v>126</v>
      </c>
      <c r="C8" s="18">
        <f>G8/7646*1969</f>
        <v>0</v>
      </c>
      <c r="D8" s="18">
        <f>G8/7646*3704</f>
        <v>0</v>
      </c>
      <c r="E8" s="18">
        <f>G8/7646*1973</f>
        <v>0</v>
      </c>
      <c r="F8" s="11"/>
      <c r="G8" s="11">
        <v>0</v>
      </c>
      <c r="H8" s="7"/>
    </row>
    <row r="9" spans="1:14" x14ac:dyDescent="0.3">
      <c r="A9" s="8">
        <v>7</v>
      </c>
      <c r="B9" s="14" t="s">
        <v>127</v>
      </c>
      <c r="C9" s="15">
        <f>G9/12286*1120</f>
        <v>98.453524336643326</v>
      </c>
      <c r="D9" s="15">
        <f>G9/12286*6187</f>
        <v>543.86781702751102</v>
      </c>
      <c r="E9" s="15">
        <f>G9/12286*4979</f>
        <v>437.67865863584569</v>
      </c>
      <c r="F9" s="11"/>
      <c r="G9" s="11">
        <f>造价!E6</f>
        <v>1080</v>
      </c>
      <c r="H9" s="14"/>
    </row>
    <row r="10" spans="1:14" x14ac:dyDescent="0.3">
      <c r="A10" s="8">
        <v>8</v>
      </c>
      <c r="B10" s="14" t="s">
        <v>128</v>
      </c>
      <c r="C10" s="15">
        <f>G10*0.75</f>
        <v>1690.562600616945</v>
      </c>
      <c r="D10" s="15">
        <f>G10*0.1</f>
        <v>225.40834674892599</v>
      </c>
      <c r="E10" s="15">
        <f>G10*0.15</f>
        <v>338.11252012338895</v>
      </c>
      <c r="F10" s="11"/>
      <c r="G10" s="19">
        <v>2254.0834674892599</v>
      </c>
      <c r="H10" s="14"/>
    </row>
    <row r="11" spans="1:14" x14ac:dyDescent="0.3">
      <c r="A11" s="20" t="s">
        <v>129</v>
      </c>
      <c r="B11" s="14" t="s">
        <v>115</v>
      </c>
      <c r="C11" s="15"/>
      <c r="D11" s="15"/>
      <c r="E11" s="15"/>
      <c r="F11" s="11">
        <f>SUM(F12:F16)</f>
        <v>1488.6940284860655</v>
      </c>
      <c r="G11" s="11">
        <f>F11</f>
        <v>1488.6940284860655</v>
      </c>
      <c r="H11" s="7"/>
    </row>
    <row r="12" spans="1:14" x14ac:dyDescent="0.3">
      <c r="A12" s="13">
        <v>1</v>
      </c>
      <c r="B12" s="14" t="s">
        <v>130</v>
      </c>
      <c r="C12" s="7"/>
      <c r="D12" s="7"/>
      <c r="E12" s="7"/>
      <c r="F12" s="11">
        <v>100</v>
      </c>
      <c r="G12" s="11">
        <f t="shared" ref="G12:G24" si="0">SUM(C12:F12)</f>
        <v>100</v>
      </c>
      <c r="H12" s="7"/>
    </row>
    <row r="13" spans="1:14" x14ac:dyDescent="0.3">
      <c r="A13" s="13">
        <v>2</v>
      </c>
      <c r="B13" s="14" t="s">
        <v>131</v>
      </c>
      <c r="C13" s="7"/>
      <c r="D13" s="7"/>
      <c r="E13" s="7"/>
      <c r="F13" s="11">
        <f>C31</f>
        <v>610.99979220083526</v>
      </c>
      <c r="G13" s="7">
        <f t="shared" si="0"/>
        <v>610.99979220083526</v>
      </c>
      <c r="H13" s="7"/>
    </row>
    <row r="14" spans="1:14" x14ac:dyDescent="0.3">
      <c r="A14" s="13">
        <v>3</v>
      </c>
      <c r="B14" s="14" t="s">
        <v>132</v>
      </c>
      <c r="C14" s="7"/>
      <c r="D14" s="7"/>
      <c r="E14" s="7"/>
      <c r="F14" s="11">
        <f>C38</f>
        <v>504.60033700930012</v>
      </c>
      <c r="G14" s="7">
        <f t="shared" si="0"/>
        <v>504.60033700930012</v>
      </c>
      <c r="H14" s="7"/>
    </row>
    <row r="15" spans="1:14" x14ac:dyDescent="0.3">
      <c r="A15" s="13">
        <v>4</v>
      </c>
      <c r="B15" s="14" t="s">
        <v>133</v>
      </c>
      <c r="C15" s="7"/>
      <c r="D15" s="7"/>
      <c r="E15" s="7"/>
      <c r="F15" s="7">
        <f>C46</f>
        <v>120</v>
      </c>
      <c r="G15" s="7">
        <f t="shared" si="0"/>
        <v>120</v>
      </c>
      <c r="H15" s="7"/>
    </row>
    <row r="16" spans="1:14" x14ac:dyDescent="0.3">
      <c r="A16" s="13">
        <v>5</v>
      </c>
      <c r="B16" s="14" t="s">
        <v>134</v>
      </c>
      <c r="C16" s="7"/>
      <c r="D16" s="7"/>
      <c r="E16" s="7"/>
      <c r="F16" s="11">
        <f>C47</f>
        <v>153.09389927593003</v>
      </c>
      <c r="G16" s="7">
        <f t="shared" si="0"/>
        <v>153.09389927593003</v>
      </c>
      <c r="H16" s="7"/>
    </row>
    <row r="17" spans="1:9" ht="27" x14ac:dyDescent="0.3">
      <c r="A17" s="13">
        <v>6</v>
      </c>
      <c r="B17" s="14" t="s">
        <v>135</v>
      </c>
      <c r="C17" s="7"/>
      <c r="D17" s="7"/>
      <c r="E17" s="7"/>
      <c r="F17" s="7"/>
      <c r="G17" s="7">
        <f t="shared" si="0"/>
        <v>0</v>
      </c>
      <c r="H17" s="7"/>
    </row>
    <row r="18" spans="1:9" x14ac:dyDescent="0.3">
      <c r="A18" s="21" t="s">
        <v>136</v>
      </c>
      <c r="B18" s="22" t="s">
        <v>137</v>
      </c>
      <c r="C18" s="23"/>
      <c r="D18" s="23"/>
      <c r="E18" s="23"/>
      <c r="F18" s="24">
        <f>G2*0.03</f>
        <v>587.22250402467785</v>
      </c>
      <c r="G18" s="7">
        <f t="shared" si="0"/>
        <v>587.22250402467785</v>
      </c>
      <c r="H18" s="25"/>
    </row>
    <row r="19" spans="1:9" ht="40.5" x14ac:dyDescent="0.3">
      <c r="A19" s="13"/>
      <c r="B19" s="4" t="s">
        <v>138</v>
      </c>
      <c r="C19" s="6">
        <f>C2+C11+C18</f>
        <v>2936.0181952445596</v>
      </c>
      <c r="D19" s="6">
        <f>D2+D11+D18</f>
        <v>14334.871659423054</v>
      </c>
      <c r="E19" s="6">
        <f>E2+E11+E18</f>
        <v>2303.1936128216466</v>
      </c>
      <c r="F19" s="6">
        <f>F2+F11+F18</f>
        <v>2075.9165325107433</v>
      </c>
      <c r="G19" s="11">
        <f t="shared" si="0"/>
        <v>21650.000000000004</v>
      </c>
      <c r="H19" s="26" t="s">
        <v>139</v>
      </c>
      <c r="I19" s="27">
        <f>G19-造价!E9</f>
        <v>0</v>
      </c>
    </row>
    <row r="20" spans="1:9" x14ac:dyDescent="0.3">
      <c r="A20" s="13"/>
      <c r="B20" s="14" t="s">
        <v>140</v>
      </c>
      <c r="C20" s="28">
        <f>C19/G19</f>
        <v>0.13561284966487572</v>
      </c>
      <c r="D20" s="28">
        <f>D19/G19</f>
        <v>0.6621187833451756</v>
      </c>
      <c r="E20" s="28">
        <f>E19/G19</f>
        <v>0.10638307680469497</v>
      </c>
      <c r="F20" s="28">
        <f>F19/G19</f>
        <v>9.5885290185253713E-2</v>
      </c>
      <c r="G20" s="29">
        <f t="shared" si="0"/>
        <v>1</v>
      </c>
      <c r="H20" s="7"/>
    </row>
    <row r="21" spans="1:9" ht="40.5" x14ac:dyDescent="0.3">
      <c r="A21" s="30" t="s">
        <v>141</v>
      </c>
      <c r="B21" s="31" t="s">
        <v>142</v>
      </c>
      <c r="C21" s="32"/>
      <c r="D21" s="32"/>
      <c r="E21" s="32"/>
      <c r="F21" s="11">
        <f>1000</f>
        <v>1000</v>
      </c>
      <c r="G21" s="11">
        <f t="shared" si="0"/>
        <v>1000</v>
      </c>
      <c r="H21" s="14" t="s">
        <v>143</v>
      </c>
    </row>
    <row r="22" spans="1:9" x14ac:dyDescent="0.3">
      <c r="A22" s="1" t="s">
        <v>144</v>
      </c>
      <c r="B22" s="2" t="s">
        <v>145</v>
      </c>
      <c r="C22" s="24">
        <f>C19</f>
        <v>2936.0181952445596</v>
      </c>
      <c r="D22" s="24">
        <f>D19</f>
        <v>14334.871659423054</v>
      </c>
      <c r="E22" s="24">
        <f>E19</f>
        <v>2303.1936128216466</v>
      </c>
      <c r="F22" s="33">
        <f>F19+F21</f>
        <v>3075.9165325107433</v>
      </c>
      <c r="G22" s="11">
        <f t="shared" si="0"/>
        <v>22650.000000000004</v>
      </c>
      <c r="H22" s="7"/>
    </row>
    <row r="23" spans="1:9" ht="27" x14ac:dyDescent="0.3">
      <c r="A23" s="34"/>
      <c r="B23" s="31" t="s">
        <v>146</v>
      </c>
      <c r="C23" s="35">
        <f>C22/1.09*0.09</f>
        <v>242.42352070826635</v>
      </c>
      <c r="D23" s="35">
        <f>D22/1.13*0.13</f>
        <v>1649.144527190263</v>
      </c>
      <c r="E23" s="35">
        <f>E22/1.09*0.09</f>
        <v>190.17194968252127</v>
      </c>
      <c r="F23" s="36">
        <f>F22/1.02*0.015</f>
        <v>45.234066654569752</v>
      </c>
      <c r="G23" s="11">
        <f t="shared" si="0"/>
        <v>2126.9740642356205</v>
      </c>
      <c r="H23" s="7"/>
    </row>
    <row r="24" spans="1:9" x14ac:dyDescent="0.3">
      <c r="A24" s="37" t="s">
        <v>147</v>
      </c>
      <c r="B24" s="38" t="s">
        <v>148</v>
      </c>
      <c r="C24" s="39">
        <f>C22-C23</f>
        <v>2693.594674536293</v>
      </c>
      <c r="D24" s="39">
        <f>D22-D23</f>
        <v>12685.727132232791</v>
      </c>
      <c r="E24" s="39">
        <f>E22-E23</f>
        <v>2113.0216631391254</v>
      </c>
      <c r="F24" s="39">
        <f>F22-F23</f>
        <v>3030.6824658561736</v>
      </c>
      <c r="G24" s="11">
        <f t="shared" si="0"/>
        <v>20523.025935764384</v>
      </c>
      <c r="H24" s="40"/>
    </row>
    <row r="25" spans="1:9" x14ac:dyDescent="0.3">
      <c r="A25" s="41"/>
      <c r="B25" s="2" t="s">
        <v>149</v>
      </c>
      <c r="C25" s="25"/>
      <c r="D25" s="25"/>
      <c r="E25" s="42"/>
      <c r="F25" s="41"/>
      <c r="G25" s="25"/>
      <c r="H25" s="7"/>
    </row>
    <row r="29" spans="1:9" x14ac:dyDescent="0.3">
      <c r="A29" s="63" t="s">
        <v>150</v>
      </c>
      <c r="B29" s="64"/>
      <c r="C29" s="64"/>
      <c r="D29" s="65"/>
    </row>
    <row r="30" spans="1:9" x14ac:dyDescent="0.3">
      <c r="A30" s="43" t="s">
        <v>3</v>
      </c>
      <c r="B30" s="43" t="s">
        <v>151</v>
      </c>
      <c r="C30" s="43" t="s">
        <v>152</v>
      </c>
      <c r="D30" s="43" t="s">
        <v>6</v>
      </c>
    </row>
    <row r="31" spans="1:9" x14ac:dyDescent="0.3">
      <c r="A31" s="44">
        <v>1</v>
      </c>
      <c r="B31" s="44" t="s">
        <v>153</v>
      </c>
      <c r="C31" s="44">
        <f>SUM(C32:C37)</f>
        <v>610.99979220083526</v>
      </c>
      <c r="D31" s="45" t="s">
        <v>154</v>
      </c>
    </row>
    <row r="32" spans="1:9" x14ac:dyDescent="0.3">
      <c r="A32" s="46">
        <v>1.1000000000000001</v>
      </c>
      <c r="B32" s="46" t="s">
        <v>155</v>
      </c>
      <c r="C32" s="46">
        <f>(C2+E2)*7.07%</f>
        <v>370.41227483028075</v>
      </c>
      <c r="D32" s="45"/>
    </row>
    <row r="33" spans="1:4" x14ac:dyDescent="0.3">
      <c r="A33" s="46">
        <v>1.2</v>
      </c>
      <c r="B33" s="46" t="s">
        <v>156</v>
      </c>
      <c r="C33" s="46">
        <f>G2*0.35%</f>
        <v>68.509292136212409</v>
      </c>
      <c r="D33" s="45"/>
    </row>
    <row r="34" spans="1:4" x14ac:dyDescent="0.3">
      <c r="A34" s="46">
        <v>1.3</v>
      </c>
      <c r="B34" s="46" t="s">
        <v>157</v>
      </c>
      <c r="C34" s="46">
        <f>(C2+E2)*1.55%</f>
        <v>81.207783025026188</v>
      </c>
      <c r="D34" s="45"/>
    </row>
    <row r="35" spans="1:4" x14ac:dyDescent="0.3">
      <c r="A35" s="46">
        <v>1.4</v>
      </c>
      <c r="B35" s="46" t="s">
        <v>158</v>
      </c>
      <c r="C35" s="46">
        <f>(D2+(C2+E2)*0.4)*0.3%</f>
        <v>49.291669147948603</v>
      </c>
      <c r="D35" s="45"/>
    </row>
    <row r="36" spans="1:4" x14ac:dyDescent="0.3">
      <c r="A36" s="46">
        <v>1.5</v>
      </c>
      <c r="B36" s="46" t="s">
        <v>159</v>
      </c>
      <c r="C36" s="46">
        <f>(C2+E2)*0.42%</f>
        <v>22.004689593878062</v>
      </c>
      <c r="D36" s="45"/>
    </row>
    <row r="37" spans="1:4" x14ac:dyDescent="0.3">
      <c r="A37" s="46">
        <v>1.6</v>
      </c>
      <c r="B37" s="46" t="s">
        <v>160</v>
      </c>
      <c r="C37" s="46">
        <f>G2*0.1%</f>
        <v>19.574083467489263</v>
      </c>
      <c r="D37" s="45"/>
    </row>
    <row r="38" spans="1:4" x14ac:dyDescent="0.3">
      <c r="A38" s="44">
        <v>2</v>
      </c>
      <c r="B38" s="44" t="s">
        <v>161</v>
      </c>
      <c r="C38" s="44">
        <f>SUM(C39:C45)</f>
        <v>504.60033700930012</v>
      </c>
      <c r="D38" s="47"/>
    </row>
    <row r="39" spans="1:4" x14ac:dyDescent="0.3">
      <c r="A39" s="46">
        <v>2.1</v>
      </c>
      <c r="B39" s="46" t="s">
        <v>162</v>
      </c>
      <c r="C39" s="46">
        <v>30</v>
      </c>
      <c r="D39" s="45" t="s">
        <v>163</v>
      </c>
    </row>
    <row r="40" spans="1:4" x14ac:dyDescent="0.3">
      <c r="A40" s="46">
        <v>2.2000000000000002</v>
      </c>
      <c r="B40" s="46" t="s">
        <v>164</v>
      </c>
      <c r="C40" s="46">
        <f>D2*0.15%</f>
        <v>21.50230748913458</v>
      </c>
      <c r="D40" s="45" t="s">
        <v>154</v>
      </c>
    </row>
    <row r="41" spans="1:4" x14ac:dyDescent="0.3">
      <c r="A41" s="46">
        <v>2.2999999999999998</v>
      </c>
      <c r="B41" s="46" t="s">
        <v>165</v>
      </c>
      <c r="C41" s="46">
        <v>400</v>
      </c>
      <c r="D41" s="45" t="s">
        <v>163</v>
      </c>
    </row>
    <row r="42" spans="1:4" x14ac:dyDescent="0.3">
      <c r="A42" s="46">
        <v>2.4</v>
      </c>
      <c r="B42" s="46" t="s">
        <v>166</v>
      </c>
      <c r="C42" s="46">
        <v>15</v>
      </c>
      <c r="D42" s="45" t="s">
        <v>163</v>
      </c>
    </row>
    <row r="43" spans="1:4" x14ac:dyDescent="0.3">
      <c r="A43" s="46">
        <v>2.5</v>
      </c>
      <c r="B43" s="46" t="s">
        <v>167</v>
      </c>
      <c r="C43" s="46">
        <f>(C2+E2)*0.15%</f>
        <v>7.8588177120993086</v>
      </c>
      <c r="D43" s="45" t="s">
        <v>154</v>
      </c>
    </row>
    <row r="44" spans="1:4" x14ac:dyDescent="0.3">
      <c r="A44" s="46">
        <v>2.6</v>
      </c>
      <c r="B44" s="46" t="s">
        <v>168</v>
      </c>
      <c r="C44" s="46">
        <v>25</v>
      </c>
      <c r="D44" s="45" t="s">
        <v>163</v>
      </c>
    </row>
    <row r="45" spans="1:4" x14ac:dyDescent="0.3">
      <c r="A45" s="46">
        <v>2.7</v>
      </c>
      <c r="B45" s="46" t="s">
        <v>169</v>
      </c>
      <c r="C45" s="46">
        <f>(C2+E2)*0.1%</f>
        <v>5.239211808066206</v>
      </c>
      <c r="D45" s="45" t="s">
        <v>154</v>
      </c>
    </row>
    <row r="46" spans="1:4" x14ac:dyDescent="0.3">
      <c r="A46" s="44">
        <v>3</v>
      </c>
      <c r="B46" s="44" t="s">
        <v>170</v>
      </c>
      <c r="C46" s="44">
        <v>120</v>
      </c>
      <c r="D46" s="47" t="s">
        <v>163</v>
      </c>
    </row>
    <row r="47" spans="1:4" x14ac:dyDescent="0.3">
      <c r="A47" s="44">
        <v>4</v>
      </c>
      <c r="B47" s="44" t="s">
        <v>134</v>
      </c>
      <c r="C47" s="44">
        <f>SUM(C48:C50)</f>
        <v>153.09389927593003</v>
      </c>
      <c r="D47" s="47"/>
    </row>
    <row r="48" spans="1:4" x14ac:dyDescent="0.3">
      <c r="A48" s="46">
        <v>4.0999999999999996</v>
      </c>
      <c r="B48" s="46" t="s">
        <v>171</v>
      </c>
      <c r="C48" s="46">
        <v>70</v>
      </c>
      <c r="D48" s="45" t="s">
        <v>163</v>
      </c>
    </row>
    <row r="49" spans="1:4" x14ac:dyDescent="0.3">
      <c r="A49" s="46">
        <v>4.2</v>
      </c>
      <c r="B49" s="46" t="s">
        <v>172</v>
      </c>
      <c r="C49" s="46">
        <f>(C2+E2)*0.5%</f>
        <v>26.196059040331029</v>
      </c>
      <c r="D49" s="45" t="s">
        <v>154</v>
      </c>
    </row>
    <row r="50" spans="1:4" x14ac:dyDescent="0.3">
      <c r="A50" s="46">
        <v>4.3</v>
      </c>
      <c r="B50" s="46" t="s">
        <v>173</v>
      </c>
      <c r="C50" s="46">
        <f>(C2+E2)*3.62%*0.3</f>
        <v>56.897840235598999</v>
      </c>
      <c r="D50" s="45" t="s">
        <v>154</v>
      </c>
    </row>
  </sheetData>
  <mergeCells count="1">
    <mergeCell ref="A29:D29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设备型号</vt:lpstr>
      <vt:lpstr>熔盐参数</vt:lpstr>
      <vt:lpstr>输入</vt:lpstr>
      <vt:lpstr>计算</vt:lpstr>
      <vt:lpstr>选型</vt:lpstr>
      <vt:lpstr>造价</vt:lpstr>
      <vt:lpstr>工程概算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Yanhan Lai</cp:lastModifiedBy>
  <dcterms:created xsi:type="dcterms:W3CDTF">2026-08-12T09:27:00Z</dcterms:created>
  <dcterms:modified xsi:type="dcterms:W3CDTF">2026-10-11T15:27:06Z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98A27F70CF7D496F86D3A31CDCFCF905_13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