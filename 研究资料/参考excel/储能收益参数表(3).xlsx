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8352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<sst xmlns="http://schemas.openxmlformats.org/spreadsheetml/2006/main" count="139" uniqueCount="97">
  <si>
    <t>项目指标</t>
  </si>
  <si>
    <t>单位</t>
  </si>
  <si>
    <t>谷电供蒸汽</t>
  </si>
  <si>
    <t>备注</t>
  </si>
  <si>
    <t>蒸汽价格</t>
  </si>
  <si>
    <t>输入及基础资料</t>
  </si>
  <si>
    <t>标准煤价格</t>
  </si>
  <si>
    <t>元/t</t>
  </si>
  <si>
    <t>蒸汽参数</t>
  </si>
  <si>
    <t>1MPa,200℃</t>
  </si>
  <si>
    <t>标准煤热值</t>
  </si>
  <si>
    <t>kj/kg</t>
  </si>
  <si>
    <t>蒸汽流量</t>
  </si>
  <si>
    <t>t/h</t>
  </si>
  <si>
    <t>锅炉效率</t>
  </si>
  <si>
    <t>%</t>
  </si>
  <si>
    <t>蒸汽焓值</t>
  </si>
  <si>
    <t>产吨蒸汽煤耗量</t>
  </si>
  <si>
    <t>kg</t>
  </si>
  <si>
    <t>给水参数</t>
  </si>
  <si>
    <t>0.1MPa,25℃</t>
  </si>
  <si>
    <t>给水焓值</t>
  </si>
  <si>
    <t>水价</t>
  </si>
  <si>
    <t>年利用小时数</t>
  </si>
  <si>
    <t>h</t>
  </si>
  <si>
    <t>针对蒸汽价格进行敏感性分析</t>
  </si>
  <si>
    <t>储能电价</t>
  </si>
  <si>
    <t>元/kWh</t>
  </si>
  <si>
    <t>蒸汽价格（元/t)</t>
  </si>
  <si>
    <t>资本金收益率(%)</t>
  </si>
  <si>
    <t>投资回收期(年)</t>
  </si>
  <si>
    <t>全投资收益率(%)</t>
  </si>
  <si>
    <t>厂用电价</t>
  </si>
  <si>
    <t>消纳谷电</t>
  </si>
  <si>
    <t>电制热效率</t>
  </si>
  <si>
    <t>电制热设备规模</t>
  </si>
  <si>
    <t>MW</t>
  </si>
  <si>
    <t>年用电量</t>
  </si>
  <si>
    <t>万kWh</t>
  </si>
  <si>
    <t>储热模块</t>
  </si>
  <si>
    <t>用热量</t>
  </si>
  <si>
    <t>MWht</t>
  </si>
  <si>
    <t>日储热量</t>
  </si>
  <si>
    <t>储热效率</t>
  </si>
  <si>
    <t>熔盐上限温度</t>
  </si>
  <si>
    <t>℃</t>
  </si>
  <si>
    <t>熔盐下限温度</t>
  </si>
  <si>
    <t>熔盐平均密度</t>
  </si>
  <si>
    <t>t/m3</t>
  </si>
  <si>
    <t>熔盐平均比热</t>
  </si>
  <si>
    <t>熔盐量</t>
  </si>
  <si>
    <t>t</t>
  </si>
  <si>
    <t>熔盐体积</t>
  </si>
  <si>
    <t>m3</t>
  </si>
  <si>
    <t>熔盐罐有效高度</t>
  </si>
  <si>
    <t>m</t>
  </si>
  <si>
    <t>熔盐罐体直径</t>
  </si>
  <si>
    <t>保温厚度</t>
  </si>
  <si>
    <t>熔盐罐直径（含保温)</t>
  </si>
  <si>
    <t>蒸汽发生计算模块</t>
  </si>
  <si>
    <t>年供蒸汽量</t>
  </si>
  <si>
    <t>万t</t>
  </si>
  <si>
    <t>SGS产热功率</t>
  </si>
  <si>
    <t>MWt</t>
  </si>
  <si>
    <t>换热效率</t>
  </si>
  <si>
    <t>收益计算模块</t>
  </si>
  <si>
    <t>蒸汽收益</t>
  </si>
  <si>
    <t>万元</t>
  </si>
  <si>
    <t>年总收益</t>
  </si>
  <si>
    <t>运行成本计算模块</t>
  </si>
  <si>
    <t>厂用电量</t>
  </si>
  <si>
    <t>厂用电费</t>
  </si>
  <si>
    <t>储能电费</t>
  </si>
  <si>
    <t>总电费</t>
  </si>
  <si>
    <t>水费</t>
  </si>
  <si>
    <t>定员数量</t>
  </si>
  <si>
    <t>人</t>
  </si>
  <si>
    <t>人员工资</t>
  </si>
  <si>
    <t>万元/人</t>
  </si>
  <si>
    <t>人员费用</t>
  </si>
  <si>
    <t>其他运行费用</t>
  </si>
  <si>
    <t>总运行费用</t>
  </si>
  <si>
    <t>工艺设备选型</t>
  </si>
  <si>
    <t>电制热系统规模</t>
  </si>
  <si>
    <t>储热系统</t>
  </si>
  <si>
    <t>蒸汽发生系统规模</t>
  </si>
  <si>
    <t>初步投资概算</t>
  </si>
  <si>
    <t>占地面积</t>
  </si>
  <si>
    <t>亩</t>
  </si>
  <si>
    <t>征地费用</t>
  </si>
  <si>
    <t>电制热系统</t>
  </si>
  <si>
    <t>换热系统</t>
  </si>
  <si>
    <t>蒸汽管道改造</t>
  </si>
  <si>
    <t>配电成本</t>
  </si>
  <si>
    <t>设备总成本</t>
  </si>
  <si>
    <t>项目建设及备用费用</t>
  </si>
  <si>
    <t>总投资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</si>
</sst>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workbookViewId="0">
      <selection activeCell="L14" sqref="L14"/>
    </sheetView>
  </sheetViews>
  <sheetFormatPr defaultColWidth="9.02654867256637" defaultRowHeight="13.5"/>
  <cols>
    <col min="3" max="3" width="12.7964601769912"/>
    <col min="5" max="5" width="15.1327433628319" customWidth="1"/>
    <col min="6" max="6" width="15.9380530973451" customWidth="1"/>
    <col min="7" max="7" width="15.6725663716814" customWidth="1"/>
    <col min="8" max="8" width="14.2743362831858" customWidth="1"/>
    <col min="9" max="9" width="15.9380530973451" customWidth="1"/>
    <col min="10" max="10" width="14.4070796460177" customWidth="1"/>
    <col min="15" max="15" width="11.6637168141593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/>
      <c r="H1" s="1"/>
      <c r="I1" s="3"/>
    </row>
    <row r="2" spans="1:10">
      <c r="A2" s="1" t="s">
        <v>5</v>
      </c>
      <c r="B2" s="4"/>
      <c r="C2" s="4"/>
      <c r="D2" s="4"/>
      <c r="E2" s="5"/>
      <c r="F2" s="6" t="s">
        <v>6</v>
      </c>
      <c r="G2" s="6" t="s">
        <v>7</v>
      </c>
      <c r="H2" s="6">
        <v>860</v>
      </c>
    </row>
    <row r="3" spans="1:10">
      <c r="A3" s="6" t="s">
        <v>8</v>
      </c>
      <c r="B3" s="6"/>
      <c r="C3" s="6" t="s">
        <v>9</v>
      </c>
      <c r="D3" s="6"/>
      <c r="F3" s="6" t="s">
        <v>10</v>
      </c>
      <c r="G3" s="6" t="s">
        <v>11</v>
      </c>
      <c r="H3" s="6">
        <v>29307</v>
      </c>
    </row>
    <row r="4" spans="1:10">
      <c r="A4" s="6" t="s">
        <v>12</v>
      </c>
      <c r="B4" s="6" t="s">
        <v>13</v>
      </c>
      <c r="C4" s="6">
        <f>C32*3600/(C5-C7)</f>
        <v>38.4793360680641</v>
      </c>
      <c r="D4" s="6"/>
      <c r="F4" s="6" t="s">
        <v>14</v>
      </c>
      <c r="G4" s="6" t="s">
        <v>15</v>
      </c>
      <c r="H4" s="6">
        <v>80</v>
      </c>
    </row>
    <row r="5" spans="1:10">
      <c r="A5" s="6" t="s">
        <v>16</v>
      </c>
      <c r="B5" s="6" t="s">
        <v>11</v>
      </c>
      <c r="C5" s="6">
        <v>2828.2675</v>
      </c>
      <c r="D5" s="6"/>
      <c r="F5" s="6" t="s">
        <v>17</v>
      </c>
      <c r="G5" s="6" t="s">
        <v>18</v>
      </c>
      <c r="H5" s="6">
        <f>(C5-C7)*1000/(H3*H4/100)</f>
        <v>116.155671000102</v>
      </c>
    </row>
    <row r="6" spans="1:10">
      <c r="A6" s="6" t="s">
        <v>19</v>
      </c>
      <c r="B6" s="6"/>
      <c r="C6" s="6" t="s">
        <v>20</v>
      </c>
      <c r="D6" s="6"/>
      <c r="F6" s="6" t="s">
        <v>4</v>
      </c>
      <c r="G6" s="6" t="s">
        <v>7</v>
      </c>
      <c r="H6" s="6">
        <f>H2*(H5/1000)</f>
        <v>99.893877060088</v>
      </c>
    </row>
    <row r="7" spans="1:10">
      <c r="A7" s="6" t="s">
        <v>21</v>
      </c>
      <c r="B7" s="6" t="s">
        <v>11</v>
      </c>
      <c r="C7" s="6">
        <v>104.9281</v>
      </c>
      <c r="D7" s="6"/>
    </row>
    <row r="8" spans="1:10">
      <c r="A8" s="6" t="s">
        <v>22</v>
      </c>
      <c r="B8" s="6" t="s">
        <v>7</v>
      </c>
      <c r="C8" s="6">
        <v>15.3</v>
      </c>
      <c r="D8" s="6"/>
    </row>
    <row r="9" spans="1:10">
      <c r="A9" s="6" t="s">
        <v>23</v>
      </c>
      <c r="B9" s="6" t="s">
        <v>24</v>
      </c>
      <c r="C9" s="6">
        <v>1569</v>
      </c>
      <c r="D9" s="6"/>
      <c r="F9" s="1" t="s">
        <v>25</v>
      </c>
      <c r="G9" s="1"/>
      <c r="H9" s="1"/>
      <c r="I9" s="1"/>
      <c r="J9" s="1"/>
    </row>
    <row r="10" spans="1:10">
      <c r="A10" s="6" t="s">
        <v>26</v>
      </c>
      <c r="B10" s="6" t="s">
        <v>27</v>
      </c>
      <c r="C10" s="6">
        <v>-0.0551</v>
      </c>
      <c r="D10" s="6"/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30</v>
      </c>
    </row>
    <row r="11" spans="1:10">
      <c r="A11" s="6" t="s">
        <v>32</v>
      </c>
      <c r="B11" s="6" t="s">
        <v>27</v>
      </c>
      <c r="C11" s="6">
        <v>0.6</v>
      </c>
      <c r="D11" s="6"/>
      <c r="F11" s="6">
        <v>220</v>
      </c>
      <c r="G11" s="6">
        <v>54.81</v>
      </c>
      <c r="H11" s="6">
        <v>2.84</v>
      </c>
      <c r="I11" s="6">
        <v>22.57</v>
      </c>
      <c r="J11" s="6">
        <v>5.38</v>
      </c>
    </row>
    <row r="12" spans="1:10">
      <c r="A12" s="1" t="s">
        <v>33</v>
      </c>
      <c r="B12" s="4"/>
      <c r="C12" s="4"/>
      <c r="D12" s="4"/>
      <c r="E12" s="5"/>
      <c r="F12" s="6">
        <v>200</v>
      </c>
      <c r="G12" s="6">
        <v>47.58</v>
      </c>
      <c r="H12" s="6">
        <v>3.13</v>
      </c>
      <c r="I12" s="6">
        <v>20.28</v>
      </c>
      <c r="J12" s="6">
        <v>5.84</v>
      </c>
    </row>
    <row r="13" spans="1:10">
      <c r="A13" s="6" t="s">
        <v>34</v>
      </c>
      <c r="B13" s="6" t="s">
        <v>15</v>
      </c>
      <c r="C13" s="6">
        <v>99</v>
      </c>
      <c r="D13" s="6"/>
      <c r="F13" s="6">
        <v>180</v>
      </c>
      <c r="G13" s="6">
        <v>40.64</v>
      </c>
      <c r="H13" s="6">
        <v>3.5</v>
      </c>
      <c r="I13" s="6">
        <v>18.03</v>
      </c>
      <c r="J13" s="6">
        <v>6.4</v>
      </c>
    </row>
    <row r="14" spans="1:10">
      <c r="A14" s="6" t="s">
        <v>35</v>
      </c>
      <c r="B14" s="6" t="s">
        <v>36</v>
      </c>
      <c r="C14" s="6">
        <v>30</v>
      </c>
      <c r="D14" s="6"/>
      <c r="F14" s="6">
        <v>160</v>
      </c>
      <c r="G14" s="6">
        <v>33.9</v>
      </c>
      <c r="H14" s="6">
        <v>4.02</v>
      </c>
      <c r="I14" s="6">
        <v>15.78</v>
      </c>
      <c r="J14" s="6">
        <v>7.09</v>
      </c>
    </row>
    <row r="15" spans="1:10">
      <c r="A15" s="6" t="s">
        <v>37</v>
      </c>
      <c r="B15" s="6" t="s">
        <v>38</v>
      </c>
      <c r="C15" s="6">
        <f>C14*1000*C9/10000</f>
        <v>4707</v>
      </c>
      <c r="D15" s="6"/>
      <c r="F15" s="6">
        <v>140</v>
      </c>
      <c r="G15" s="6">
        <v>27.42</v>
      </c>
      <c r="H15" s="6">
        <v>4.77</v>
      </c>
      <c r="I15" s="6">
        <v>13.53</v>
      </c>
      <c r="J15" s="6">
        <v>7.96</v>
      </c>
    </row>
    <row r="16" spans="1:10">
      <c r="A16" s="1" t="s">
        <v>39</v>
      </c>
      <c r="B16" s="4"/>
      <c r="C16" s="4"/>
      <c r="D16" s="4"/>
      <c r="E16" s="5"/>
      <c r="F16" s="6">
        <v>120</v>
      </c>
      <c r="G16" s="6">
        <v>21.23</v>
      </c>
      <c r="H16" s="6">
        <v>5.96</v>
      </c>
      <c r="I16" s="6">
        <v>11.23</v>
      </c>
      <c r="J16" s="6">
        <v>9.08</v>
      </c>
    </row>
    <row r="17" spans="1:10">
      <c r="A17" s="6" t="s">
        <v>40</v>
      </c>
      <c r="B17" s="6" t="s">
        <v>41</v>
      </c>
      <c r="C17" s="6">
        <f>C32*C9</f>
        <v>45671.97393</v>
      </c>
      <c r="D17" s="6"/>
      <c r="F17" s="6">
        <v>116</v>
      </c>
      <c r="G17" s="6">
        <v>20.03</v>
      </c>
      <c r="H17" s="6">
        <v>6.29</v>
      </c>
      <c r="I17" s="6">
        <v>10.77</v>
      </c>
      <c r="J17" s="6">
        <v>9.35</v>
      </c>
    </row>
    <row r="18" spans="1:10">
      <c r="A18" s="6" t="s">
        <v>42</v>
      </c>
      <c r="B18" s="6" t="s">
        <v>41</v>
      </c>
      <c r="C18" s="6">
        <f>C32*2</f>
        <v>58.21794</v>
      </c>
      <c r="D18" s="6"/>
      <c r="F18" s="6">
        <v>100</v>
      </c>
      <c r="G18" s="6">
        <v>15.31</v>
      </c>
      <c r="H18" s="6">
        <v>8.14</v>
      </c>
      <c r="I18" s="6">
        <v>8.85</v>
      </c>
      <c r="J18" s="6">
        <v>10.6</v>
      </c>
    </row>
    <row r="19" spans="1:10">
      <c r="A19" s="6" t="s">
        <v>43</v>
      </c>
      <c r="B19" s="6" t="s">
        <v>15</v>
      </c>
      <c r="C19" s="6">
        <v>99</v>
      </c>
      <c r="D19" s="6"/>
    </row>
    <row r="20" spans="1:10">
      <c r="A20" s="6" t="s">
        <v>44</v>
      </c>
      <c r="B20" s="6" t="s">
        <v>45</v>
      </c>
      <c r="C20" s="6">
        <v>565</v>
      </c>
      <c r="D20" s="6"/>
    </row>
    <row r="21" spans="1:10">
      <c r="A21" s="6" t="s">
        <v>46</v>
      </c>
      <c r="B21" s="6" t="s">
        <v>45</v>
      </c>
      <c r="C21" s="6">
        <v>290</v>
      </c>
      <c r="D21" s="6"/>
    </row>
    <row r="22" spans="1:10">
      <c r="A22" s="6" t="s">
        <v>47</v>
      </c>
      <c r="B22" s="6" t="s">
        <v>48</v>
      </c>
      <c r="C22" s="6">
        <f>(2090-0.636*(C20/2+C21/2))/1000</f>
        <v>1.81811</v>
      </c>
      <c r="D22" s="6"/>
    </row>
    <row r="23" spans="1:10">
      <c r="A23" s="6" t="s">
        <v>49</v>
      </c>
      <c r="B23" s="6" t="s">
        <v>11</v>
      </c>
      <c r="C23" s="6">
        <f>(1443+0.172*(C20/2+C21/2))/1000</f>
        <v>1.51653</v>
      </c>
      <c r="D23" s="6"/>
    </row>
    <row r="24" spans="1:10">
      <c r="A24" s="6" t="s">
        <v>50</v>
      </c>
      <c r="B24" s="6" t="s">
        <v>51</v>
      </c>
      <c r="C24" s="6">
        <f>ROUND(C32*2*3600*1000/C23/(C20-C21)/1000*1.1,-1)</f>
        <v>550</v>
      </c>
      <c r="D24" s="6"/>
    </row>
    <row r="25" spans="1:10">
      <c r="A25" s="6" t="s">
        <v>52</v>
      </c>
      <c r="B25" s="6" t="s">
        <v>53</v>
      </c>
      <c r="C25" s="6">
        <f>ROUNDUP(C24/C22,0)</f>
        <v>303</v>
      </c>
      <c r="D25" s="6"/>
    </row>
    <row r="26" spans="1:10">
      <c r="A26" s="6" t="s">
        <v>54</v>
      </c>
      <c r="B26" s="6" t="s">
        <v>55</v>
      </c>
      <c r="C26" s="6">
        <v>14</v>
      </c>
      <c r="D26" s="6"/>
    </row>
    <row r="27" spans="1:10">
      <c r="A27" s="6" t="s">
        <v>56</v>
      </c>
      <c r="B27" s="6" t="s">
        <v>55</v>
      </c>
      <c r="C27" s="6">
        <f>ROUNDUP(((C25/C26/3.14)^0.5)*2,1)</f>
        <v>5.3</v>
      </c>
      <c r="D27" s="6"/>
    </row>
    <row r="28" spans="1:10">
      <c r="A28" s="6" t="s">
        <v>57</v>
      </c>
      <c r="B28" s="6" t="s">
        <v>55</v>
      </c>
      <c r="C28" s="6">
        <v>0.8</v>
      </c>
      <c r="D28" s="6"/>
    </row>
    <row r="29" spans="1:10">
      <c r="A29" s="6" t="s">
        <v>58</v>
      </c>
      <c r="B29" s="6" t="s">
        <v>55</v>
      </c>
      <c r="C29" s="6">
        <f>C27+2*C28</f>
        <v>6.9</v>
      </c>
      <c r="D29" s="6"/>
    </row>
    <row r="30" spans="1:10">
      <c r="A30" s="1" t="s">
        <v>59</v>
      </c>
      <c r="B30" s="4"/>
      <c r="C30" s="4"/>
      <c r="D30" s="4"/>
    </row>
    <row r="31" spans="1:10">
      <c r="A31" s="6" t="s">
        <v>60</v>
      </c>
      <c r="B31" s="6" t="s">
        <v>61</v>
      </c>
      <c r="C31" s="6">
        <f>C4*C9/10000</f>
        <v>6.03740782907925</v>
      </c>
      <c r="D31" s="6"/>
    </row>
    <row r="32" spans="1:10">
      <c r="A32" s="6" t="s">
        <v>62</v>
      </c>
      <c r="B32" s="6" t="s">
        <v>63</v>
      </c>
      <c r="C32" s="6">
        <f>C14*(C13/100)*(C19/100)*(C33/100)</f>
        <v>29.10897</v>
      </c>
      <c r="D32" s="6"/>
    </row>
    <row r="33" spans="1:4">
      <c r="A33" s="6" t="s">
        <v>64</v>
      </c>
      <c r="B33" s="6" t="s">
        <v>15</v>
      </c>
      <c r="C33" s="6">
        <v>99</v>
      </c>
      <c r="D33" s="6"/>
    </row>
    <row r="34" spans="1:4">
      <c r="A34" s="6" t="s">
        <v>4</v>
      </c>
      <c r="B34" s="6" t="s">
        <v>7</v>
      </c>
      <c r="C34" s="6">
        <v>100</v>
      </c>
      <c r="D34" s="6"/>
    </row>
    <row r="35" spans="1:4">
      <c r="A35" s="1" t="s">
        <v>65</v>
      </c>
      <c r="B35" s="4"/>
      <c r="C35" s="4"/>
      <c r="D35" s="4"/>
    </row>
    <row r="36" spans="1:4">
      <c r="A36" s="6" t="s">
        <v>66</v>
      </c>
      <c r="B36" s="6" t="s">
        <v>67</v>
      </c>
      <c r="C36" s="6">
        <f>C31*C34</f>
        <v>603.740782907925</v>
      </c>
      <c r="D36" s="6"/>
    </row>
    <row r="37" spans="1:4">
      <c r="A37" s="6" t="s">
        <v>68</v>
      </c>
      <c r="B37" s="6" t="s">
        <v>67</v>
      </c>
      <c r="C37" s="6">
        <f>C36</f>
        <v>603.740782907925</v>
      </c>
      <c r="D37" s="6"/>
    </row>
    <row r="38" spans="1:4">
      <c r="A38" s="1" t="s">
        <v>69</v>
      </c>
      <c r="B38" s="4"/>
      <c r="C38" s="4"/>
      <c r="D38" s="4"/>
    </row>
    <row r="39" spans="1:4">
      <c r="A39" s="6" t="s">
        <v>70</v>
      </c>
      <c r="B39" s="6" t="s">
        <v>38</v>
      </c>
      <c r="C39" s="6">
        <f>C15*0.02</f>
        <v>94.14</v>
      </c>
      <c r="D39" s="6"/>
    </row>
    <row r="40" spans="1:4">
      <c r="A40" s="6" t="s">
        <v>71</v>
      </c>
      <c r="B40" s="6" t="s">
        <v>67</v>
      </c>
      <c r="C40" s="6">
        <f>C39*C11</f>
        <v>56.484</v>
      </c>
      <c r="D40" s="6"/>
    </row>
    <row r="41" spans="1:4">
      <c r="A41" s="6" t="s">
        <v>72</v>
      </c>
      <c r="B41" s="6" t="s">
        <v>67</v>
      </c>
      <c r="C41" s="6">
        <f>C15*C10</f>
        <v>-259.3557</v>
      </c>
      <c r="D41" s="6"/>
    </row>
    <row r="42" spans="1:4">
      <c r="A42" s="6" t="s">
        <v>73</v>
      </c>
      <c r="B42" s="6" t="s">
        <v>67</v>
      </c>
      <c r="C42" s="6">
        <f>C40+C41</f>
        <v>-202.8717</v>
      </c>
      <c r="D42" s="6"/>
    </row>
    <row r="43" spans="1:4">
      <c r="A43" s="6" t="s">
        <v>74</v>
      </c>
      <c r="B43" s="6" t="s">
        <v>67</v>
      </c>
      <c r="C43" s="6">
        <f>C8*C31*0.05</f>
        <v>4.61861698924563</v>
      </c>
      <c r="D43" s="6"/>
    </row>
    <row r="44" spans="1:4">
      <c r="A44" s="6" t="s">
        <v>75</v>
      </c>
      <c r="B44" s="6" t="s">
        <v>76</v>
      </c>
      <c r="C44" s="6">
        <v>10</v>
      </c>
      <c r="D44" s="6"/>
    </row>
    <row r="45" spans="1:4">
      <c r="A45" s="6" t="s">
        <v>77</v>
      </c>
      <c r="B45" s="6" t="s">
        <v>78</v>
      </c>
      <c r="C45" s="6">
        <v>20</v>
      </c>
      <c r="D45" s="6"/>
    </row>
    <row r="46" spans="1:4">
      <c r="A46" s="6" t="s">
        <v>79</v>
      </c>
      <c r="B46" s="6" t="s">
        <v>67</v>
      </c>
      <c r="C46" s="6">
        <f>C44*C45</f>
        <v>200</v>
      </c>
      <c r="D46" s="6"/>
    </row>
    <row r="47" spans="1:4">
      <c r="A47" s="6" t="s">
        <v>80</v>
      </c>
      <c r="B47" s="6" t="s">
        <v>67</v>
      </c>
      <c r="C47" s="6">
        <f>C48-C42-C43-C46</f>
        <v>484.593083010754</v>
      </c>
      <c r="D47" s="6"/>
    </row>
    <row r="48" spans="1:4">
      <c r="A48" s="6" t="s">
        <v>81</v>
      </c>
      <c r="B48" s="6" t="s">
        <v>67</v>
      </c>
      <c r="C48" s="6">
        <v>486.34</v>
      </c>
      <c r="D48" s="6"/>
    </row>
    <row r="49" spans="1:4">
      <c r="A49" s="1" t="s">
        <v>82</v>
      </c>
      <c r="B49" s="4"/>
      <c r="C49" s="4"/>
      <c r="D49" s="4"/>
    </row>
    <row r="50" spans="1:4">
      <c r="A50" s="6" t="s">
        <v>83</v>
      </c>
      <c r="B50" s="6" t="s">
        <v>36</v>
      </c>
      <c r="C50" s="6">
        <f>ROUNDUP(C14,0)</f>
        <v>30</v>
      </c>
      <c r="D50" s="6"/>
    </row>
    <row r="51" spans="1:4">
      <c r="A51" s="6" t="s">
        <v>84</v>
      </c>
      <c r="B51" s="6" t="s">
        <v>41</v>
      </c>
      <c r="C51" s="6">
        <f>ROUNDUP(C18,0)</f>
        <v>59</v>
      </c>
      <c r="D51" s="6"/>
    </row>
    <row r="52" spans="1:4">
      <c r="A52" s="6" t="s">
        <v>50</v>
      </c>
      <c r="B52" s="6" t="s">
        <v>51</v>
      </c>
      <c r="C52" s="6">
        <f>C24</f>
        <v>550</v>
      </c>
      <c r="D52" s="6"/>
    </row>
    <row r="53" spans="1:4">
      <c r="A53" s="6" t="s">
        <v>85</v>
      </c>
      <c r="B53" s="6" t="s">
        <v>41</v>
      </c>
      <c r="C53" s="6">
        <f>ROUNDUP(C32,0)</f>
        <v>30</v>
      </c>
      <c r="D53" s="6"/>
    </row>
    <row r="54" spans="1:4">
      <c r="A54" s="1" t="s">
        <v>86</v>
      </c>
      <c r="B54" s="4"/>
      <c r="C54" s="4"/>
      <c r="D54" s="4"/>
    </row>
    <row r="55" spans="1:4">
      <c r="A55" s="6" t="s">
        <v>87</v>
      </c>
      <c r="B55" s="6" t="s">
        <v>88</v>
      </c>
      <c r="C55" s="6"/>
      <c r="D55" s="6"/>
    </row>
    <row r="56" spans="1:4">
      <c r="A56" s="6" t="s">
        <v>89</v>
      </c>
      <c r="B56" s="6" t="s">
        <v>67</v>
      </c>
      <c r="C56" s="6"/>
      <c r="D56" s="6"/>
    </row>
    <row r="57" spans="1:4">
      <c r="A57" s="6" t="s">
        <v>90</v>
      </c>
      <c r="B57" s="6" t="s">
        <v>67</v>
      </c>
      <c r="C57" s="6">
        <f>40*C50</f>
        <v>1200</v>
      </c>
      <c r="D57" s="6"/>
    </row>
    <row r="58" spans="1:4">
      <c r="A58" s="6" t="s">
        <v>84</v>
      </c>
      <c r="B58" s="6" t="s">
        <v>67</v>
      </c>
      <c r="C58" s="6">
        <f>1.2*C24</f>
        <v>660</v>
      </c>
      <c r="D58" s="6"/>
    </row>
    <row r="59" spans="1:4">
      <c r="A59" s="6" t="s">
        <v>91</v>
      </c>
      <c r="B59" s="6" t="s">
        <v>67</v>
      </c>
      <c r="C59" s="6">
        <f>35*C53</f>
        <v>1050</v>
      </c>
      <c r="D59" s="6"/>
    </row>
    <row r="60" spans="1:4">
      <c r="A60" s="6" t="s">
        <v>92</v>
      </c>
      <c r="B60" s="6" t="s">
        <v>67</v>
      </c>
      <c r="C60" s="6"/>
      <c r="D60" s="6"/>
    </row>
    <row r="61" spans="1:4">
      <c r="A61" s="6" t="s">
        <v>93</v>
      </c>
      <c r="B61" s="6" t="s">
        <v>67</v>
      </c>
      <c r="C61" s="6">
        <f>12*C50</f>
        <v>360</v>
      </c>
      <c r="D61" s="6"/>
    </row>
    <row r="62" spans="1:4">
      <c r="A62" s="6" t="s">
        <v>94</v>
      </c>
      <c r="B62" s="6" t="s">
        <v>67</v>
      </c>
      <c r="C62" s="6">
        <f>C57+C58+C59+C61</f>
        <v>3270</v>
      </c>
      <c r="D62" s="6"/>
    </row>
    <row r="63" spans="1:4">
      <c r="A63" s="6" t="s">
        <v>95</v>
      </c>
      <c r="B63" s="6" t="s">
        <v>67</v>
      </c>
      <c r="C63" s="6">
        <f>C64*0.2</f>
        <v>817.5</v>
      </c>
      <c r="D63" s="6"/>
    </row>
    <row r="64" spans="1:4">
      <c r="A64" s="6" t="s">
        <v>96</v>
      </c>
      <c r="B64" s="6" t="s">
        <v>67</v>
      </c>
      <c r="C64" s="6">
        <f>C62/0.8</f>
        <v>4087.5</v>
      </c>
      <c r="D64" s="6"/>
    </row>
    <row r="65" spans="1:4">
      <c r="A65" s="7"/>
      <c r="B65" s="7"/>
      <c r="C65" s="7"/>
      <c r="D65" s="7"/>
    </row>
  </sheetData>
  <mergeCells count="11">
    <mergeCell ref="F1:H1"/>
    <mergeCell ref="A2:D2"/>
    <mergeCell ref="F9:J9"/>
    <mergeCell ref="A12:D12"/>
    <mergeCell ref="A16:D16"/>
    <mergeCell ref="A30:D30"/>
    <mergeCell ref="A35:D35"/>
    <mergeCell ref="A38:D38"/>
    <mergeCell ref="A49:D49"/>
    <mergeCell ref="A54:D54"/>
    <mergeCell ref="A65:D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Mihairen</cp:lastModifiedBy>
  <dcterms:created xsi:type="dcterms:W3CDTF">2026-09-28T01:19:00Z</dcterms:created>
  <dcterms:modified xsi:type="dcterms:W3CDTF">2026-09-29T09:40:21Z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6C07F9A83B5248C0B39ABA21862429D2_11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